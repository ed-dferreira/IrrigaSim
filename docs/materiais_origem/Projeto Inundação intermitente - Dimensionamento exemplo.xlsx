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- BKP NOTEBOOK\Desktop\UNIPAMPA\Irrigação I\"/>
    </mc:Choice>
  </mc:AlternateContent>
  <xr:revisionPtr revIDLastSave="0" documentId="13_ncr:1_{0174FCA8-CB95-4D18-868F-64A3031F111E}" xr6:coauthVersionLast="47" xr6:coauthVersionMax="47" xr10:uidLastSave="{00000000-0000-0000-0000-000000000000}"/>
  <bookViews>
    <workbookView xWindow="-120" yWindow="-120" windowWidth="29040" windowHeight="15720" xr2:uid="{972C05DF-5959-4464-9401-3C4C4EDD7D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5" i="1" l="1"/>
  <c r="J153" i="1"/>
  <c r="J162" i="1"/>
  <c r="D154" i="1"/>
  <c r="D158" i="1"/>
  <c r="D156" i="1"/>
  <c r="D155" i="1"/>
  <c r="C159" i="1"/>
  <c r="H137" i="1"/>
  <c r="E137" i="1"/>
  <c r="D145" i="1"/>
  <c r="D144" i="1"/>
  <c r="D143" i="1"/>
  <c r="D142" i="1"/>
  <c r="D141" i="1"/>
  <c r="D140" i="1"/>
  <c r="D139" i="1"/>
  <c r="D138" i="1"/>
  <c r="D137" i="1"/>
  <c r="K63" i="1"/>
  <c r="K62" i="1"/>
  <c r="D128" i="1" l="1"/>
  <c r="D117" i="1"/>
  <c r="D106" i="1"/>
  <c r="D95" i="1"/>
  <c r="D84" i="1"/>
  <c r="D73" i="1"/>
  <c r="D62" i="1"/>
  <c r="D51" i="1"/>
  <c r="E51" i="1"/>
  <c r="E36" i="1"/>
  <c r="J128" i="1"/>
  <c r="J117" i="1"/>
  <c r="J106" i="1"/>
  <c r="J95" i="1"/>
  <c r="J84" i="1"/>
  <c r="J73" i="1"/>
  <c r="J62" i="1"/>
  <c r="J51" i="1"/>
  <c r="G36" i="1"/>
  <c r="J36" i="1"/>
  <c r="B34" i="1" l="1"/>
  <c r="J168" i="1"/>
  <c r="B145" i="1"/>
  <c r="C145" i="1" s="1"/>
  <c r="G145" i="1" s="1"/>
  <c r="B144" i="1"/>
  <c r="C144" i="1" s="1"/>
  <c r="G144" i="1" s="1"/>
  <c r="B129" i="1"/>
  <c r="B127" i="1"/>
  <c r="B118" i="1"/>
  <c r="B116" i="1"/>
  <c r="B107" i="1"/>
  <c r="B105" i="1"/>
  <c r="B96" i="1"/>
  <c r="B94" i="1"/>
  <c r="B85" i="1"/>
  <c r="B83" i="1"/>
  <c r="B74" i="1"/>
  <c r="B72" i="1"/>
  <c r="B63" i="1"/>
  <c r="B61" i="1"/>
  <c r="B52" i="1"/>
  <c r="B50" i="1"/>
  <c r="B126" i="1" l="1"/>
  <c r="B115" i="1"/>
  <c r="B104" i="1"/>
  <c r="B93" i="1"/>
  <c r="B82" i="1"/>
  <c r="B71" i="1"/>
  <c r="B60" i="1"/>
  <c r="B49" i="1"/>
  <c r="G128" i="1" l="1"/>
  <c r="G117" i="1"/>
  <c r="G106" i="1"/>
  <c r="G95" i="1"/>
  <c r="G84" i="1"/>
  <c r="G73" i="1"/>
  <c r="G62" i="1"/>
  <c r="G51" i="1"/>
  <c r="H128" i="1" l="1"/>
  <c r="I128" i="1" s="1"/>
  <c r="G129" i="1" s="1"/>
  <c r="E128" i="1"/>
  <c r="F128" i="1" s="1"/>
  <c r="D129" i="1" s="1"/>
  <c r="H117" i="1"/>
  <c r="I117" i="1" s="1"/>
  <c r="G118" i="1" s="1"/>
  <c r="E117" i="1"/>
  <c r="F117" i="1" s="1"/>
  <c r="D118" i="1" s="1"/>
  <c r="H106" i="1"/>
  <c r="I106" i="1" s="1"/>
  <c r="G107" i="1" s="1"/>
  <c r="E106" i="1"/>
  <c r="F106" i="1" s="1"/>
  <c r="D107" i="1" s="1"/>
  <c r="H95" i="1"/>
  <c r="I95" i="1" s="1"/>
  <c r="G96" i="1" s="1"/>
  <c r="E95" i="1"/>
  <c r="F95" i="1" s="1"/>
  <c r="D96" i="1" s="1"/>
  <c r="H84" i="1"/>
  <c r="I84" i="1" s="1"/>
  <c r="G85" i="1" s="1"/>
  <c r="E84" i="1"/>
  <c r="F84" i="1" s="1"/>
  <c r="D85" i="1" s="1"/>
  <c r="H73" i="1"/>
  <c r="I73" i="1" s="1"/>
  <c r="G74" i="1" s="1"/>
  <c r="E73" i="1"/>
  <c r="F73" i="1" s="1"/>
  <c r="D74" i="1" s="1"/>
  <c r="H62" i="1"/>
  <c r="I62" i="1" s="1"/>
  <c r="G63" i="1" s="1"/>
  <c r="E62" i="1"/>
  <c r="F62" i="1" s="1"/>
  <c r="D63" i="1" s="1"/>
  <c r="H51" i="1"/>
  <c r="I51" i="1" s="1"/>
  <c r="G52" i="1" s="1"/>
  <c r="E129" i="1" l="1"/>
  <c r="F129" i="1" s="1"/>
  <c r="D130" i="1" s="1"/>
  <c r="H129" i="1"/>
  <c r="I129" i="1" s="1"/>
  <c r="G130" i="1" s="1"/>
  <c r="E118" i="1"/>
  <c r="F118" i="1" s="1"/>
  <c r="D119" i="1" s="1"/>
  <c r="H118" i="1"/>
  <c r="I118" i="1" s="1"/>
  <c r="G119" i="1" s="1"/>
  <c r="E107" i="1"/>
  <c r="F107" i="1" s="1"/>
  <c r="D108" i="1" s="1"/>
  <c r="H107" i="1"/>
  <c r="I107" i="1" s="1"/>
  <c r="G108" i="1" s="1"/>
  <c r="E96" i="1"/>
  <c r="F96" i="1" s="1"/>
  <c r="D97" i="1" s="1"/>
  <c r="H96" i="1"/>
  <c r="I96" i="1" s="1"/>
  <c r="G97" i="1" s="1"/>
  <c r="E85" i="1"/>
  <c r="F85" i="1" s="1"/>
  <c r="D86" i="1" s="1"/>
  <c r="H85" i="1"/>
  <c r="I85" i="1" s="1"/>
  <c r="G86" i="1" s="1"/>
  <c r="E74" i="1"/>
  <c r="F74" i="1" s="1"/>
  <c r="D75" i="1" s="1"/>
  <c r="H74" i="1"/>
  <c r="I74" i="1" s="1"/>
  <c r="G75" i="1" s="1"/>
  <c r="E63" i="1"/>
  <c r="F63" i="1" s="1"/>
  <c r="D64" i="1" s="1"/>
  <c r="H63" i="1"/>
  <c r="I63" i="1" s="1"/>
  <c r="G64" i="1" s="1"/>
  <c r="H52" i="1"/>
  <c r="I52" i="1" s="1"/>
  <c r="G53" i="1" s="1"/>
  <c r="H130" i="1" l="1"/>
  <c r="I130" i="1" s="1"/>
  <c r="G131" i="1" s="1"/>
  <c r="E130" i="1"/>
  <c r="F130" i="1" s="1"/>
  <c r="D131" i="1" s="1"/>
  <c r="H119" i="1"/>
  <c r="I119" i="1" s="1"/>
  <c r="G120" i="1" s="1"/>
  <c r="E119" i="1"/>
  <c r="F119" i="1" s="1"/>
  <c r="D120" i="1" s="1"/>
  <c r="H108" i="1"/>
  <c r="I108" i="1" s="1"/>
  <c r="G109" i="1" s="1"/>
  <c r="E108" i="1"/>
  <c r="F108" i="1" s="1"/>
  <c r="D109" i="1" s="1"/>
  <c r="H97" i="1"/>
  <c r="I97" i="1" s="1"/>
  <c r="G98" i="1" s="1"/>
  <c r="E97" i="1"/>
  <c r="F97" i="1" s="1"/>
  <c r="D98" i="1" s="1"/>
  <c r="H86" i="1"/>
  <c r="I86" i="1" s="1"/>
  <c r="G87" i="1" s="1"/>
  <c r="E86" i="1"/>
  <c r="F86" i="1" s="1"/>
  <c r="D87" i="1" s="1"/>
  <c r="H75" i="1"/>
  <c r="I75" i="1" s="1"/>
  <c r="G76" i="1" s="1"/>
  <c r="E75" i="1"/>
  <c r="F75" i="1" s="1"/>
  <c r="D76" i="1" s="1"/>
  <c r="H64" i="1"/>
  <c r="I64" i="1" s="1"/>
  <c r="G65" i="1" s="1"/>
  <c r="E64" i="1"/>
  <c r="F64" i="1" s="1"/>
  <c r="D65" i="1" s="1"/>
  <c r="H53" i="1"/>
  <c r="I53" i="1" s="1"/>
  <c r="G54" i="1" s="1"/>
  <c r="K128" i="1" l="1"/>
  <c r="E131" i="1"/>
  <c r="F131" i="1" s="1"/>
  <c r="D132" i="1" s="1"/>
  <c r="H131" i="1"/>
  <c r="I131" i="1" s="1"/>
  <c r="G132" i="1" s="1"/>
  <c r="K117" i="1"/>
  <c r="E120" i="1"/>
  <c r="F120" i="1" s="1"/>
  <c r="D121" i="1" s="1"/>
  <c r="H120" i="1"/>
  <c r="I120" i="1" s="1"/>
  <c r="G121" i="1" s="1"/>
  <c r="K106" i="1"/>
  <c r="E109" i="1"/>
  <c r="F109" i="1" s="1"/>
  <c r="D110" i="1" s="1"/>
  <c r="H109" i="1"/>
  <c r="I109" i="1" s="1"/>
  <c r="G110" i="1" s="1"/>
  <c r="K95" i="1"/>
  <c r="E98" i="1"/>
  <c r="F98" i="1" s="1"/>
  <c r="D99" i="1" s="1"/>
  <c r="H98" i="1"/>
  <c r="I98" i="1" s="1"/>
  <c r="G99" i="1" s="1"/>
  <c r="K84" i="1"/>
  <c r="E87" i="1"/>
  <c r="F87" i="1" s="1"/>
  <c r="D88" i="1" s="1"/>
  <c r="H87" i="1"/>
  <c r="I87" i="1" s="1"/>
  <c r="G88" i="1" s="1"/>
  <c r="K73" i="1"/>
  <c r="E76" i="1"/>
  <c r="F76" i="1" s="1"/>
  <c r="D77" i="1" s="1"/>
  <c r="H76" i="1"/>
  <c r="I76" i="1" s="1"/>
  <c r="G77" i="1" s="1"/>
  <c r="E65" i="1"/>
  <c r="F65" i="1" s="1"/>
  <c r="D66" i="1" s="1"/>
  <c r="H65" i="1"/>
  <c r="I65" i="1" s="1"/>
  <c r="G66" i="1" s="1"/>
  <c r="H54" i="1"/>
  <c r="I54" i="1" s="1"/>
  <c r="G55" i="1" s="1"/>
  <c r="E132" i="1" l="1"/>
  <c r="F132" i="1" s="1"/>
  <c r="D133" i="1" s="1"/>
  <c r="H132" i="1"/>
  <c r="I132" i="1" s="1"/>
  <c r="G133" i="1" s="1"/>
  <c r="J129" i="1"/>
  <c r="E145" i="1" s="1"/>
  <c r="L128" i="1"/>
  <c r="H121" i="1"/>
  <c r="I121" i="1" s="1"/>
  <c r="G122" i="1" s="1"/>
  <c r="E121" i="1"/>
  <c r="F121" i="1" s="1"/>
  <c r="D122" i="1" s="1"/>
  <c r="J118" i="1"/>
  <c r="E144" i="1" s="1"/>
  <c r="L117" i="1"/>
  <c r="E110" i="1"/>
  <c r="F110" i="1" s="1"/>
  <c r="D111" i="1" s="1"/>
  <c r="H110" i="1"/>
  <c r="I110" i="1" s="1"/>
  <c r="G111" i="1" s="1"/>
  <c r="J107" i="1"/>
  <c r="E143" i="1" s="1"/>
  <c r="L106" i="1"/>
  <c r="H99" i="1"/>
  <c r="I99" i="1" s="1"/>
  <c r="G100" i="1" s="1"/>
  <c r="E99" i="1"/>
  <c r="F99" i="1" s="1"/>
  <c r="D100" i="1" s="1"/>
  <c r="J96" i="1"/>
  <c r="E142" i="1" s="1"/>
  <c r="L95" i="1"/>
  <c r="E88" i="1"/>
  <c r="F88" i="1" s="1"/>
  <c r="D89" i="1" s="1"/>
  <c r="H88" i="1"/>
  <c r="I88" i="1" s="1"/>
  <c r="G89" i="1" s="1"/>
  <c r="J85" i="1"/>
  <c r="E141" i="1" s="1"/>
  <c r="L84" i="1"/>
  <c r="E77" i="1"/>
  <c r="F77" i="1" s="1"/>
  <c r="D78" i="1" s="1"/>
  <c r="H77" i="1"/>
  <c r="I77" i="1" s="1"/>
  <c r="G78" i="1" s="1"/>
  <c r="J74" i="1"/>
  <c r="E140" i="1" s="1"/>
  <c r="L73" i="1"/>
  <c r="E66" i="1"/>
  <c r="F66" i="1" s="1"/>
  <c r="D67" i="1" s="1"/>
  <c r="H66" i="1"/>
  <c r="I66" i="1" s="1"/>
  <c r="G67" i="1" s="1"/>
  <c r="J63" i="1"/>
  <c r="E139" i="1" s="1"/>
  <c r="L62" i="1"/>
  <c r="H55" i="1"/>
  <c r="I55" i="1" s="1"/>
  <c r="G56" i="1" s="1"/>
  <c r="H145" i="1" l="1"/>
  <c r="I145" i="1" s="1"/>
  <c r="F145" i="1"/>
  <c r="F144" i="1"/>
  <c r="H144" i="1"/>
  <c r="I144" i="1" s="1"/>
  <c r="F143" i="1"/>
  <c r="F142" i="1"/>
  <c r="C154" i="1" s="1"/>
  <c r="F141" i="1"/>
  <c r="F140" i="1"/>
  <c r="H133" i="1"/>
  <c r="I133" i="1" s="1"/>
  <c r="K129" i="1"/>
  <c r="L129" i="1" s="1"/>
  <c r="E133" i="1"/>
  <c r="F133" i="1" s="1"/>
  <c r="B131" i="1"/>
  <c r="K118" i="1"/>
  <c r="L118" i="1" s="1"/>
  <c r="E122" i="1"/>
  <c r="F122" i="1" s="1"/>
  <c r="H122" i="1"/>
  <c r="I122" i="1" s="1"/>
  <c r="B120" i="1"/>
  <c r="H111" i="1"/>
  <c r="I111" i="1" s="1"/>
  <c r="K107" i="1"/>
  <c r="L107" i="1" s="1"/>
  <c r="E111" i="1"/>
  <c r="F111" i="1" s="1"/>
  <c r="B109" i="1"/>
  <c r="K96" i="1"/>
  <c r="L96" i="1" s="1"/>
  <c r="E100" i="1"/>
  <c r="F100" i="1" s="1"/>
  <c r="H100" i="1"/>
  <c r="I100" i="1" s="1"/>
  <c r="B98" i="1"/>
  <c r="H89" i="1"/>
  <c r="I89" i="1" s="1"/>
  <c r="K85" i="1"/>
  <c r="L85" i="1" s="1"/>
  <c r="E89" i="1"/>
  <c r="F89" i="1" s="1"/>
  <c r="B87" i="1"/>
  <c r="H78" i="1"/>
  <c r="I78" i="1" s="1"/>
  <c r="K74" i="1"/>
  <c r="L74" i="1" s="1"/>
  <c r="E78" i="1"/>
  <c r="F78" i="1" s="1"/>
  <c r="B76" i="1"/>
  <c r="H67" i="1"/>
  <c r="I67" i="1" s="1"/>
  <c r="L63" i="1"/>
  <c r="E67" i="1"/>
  <c r="F67" i="1" s="1"/>
  <c r="B65" i="1"/>
  <c r="H56" i="1"/>
  <c r="I56" i="1" s="1"/>
  <c r="F139" i="1" l="1"/>
  <c r="B26" i="1" l="1"/>
  <c r="B143" i="1"/>
  <c r="C143" i="1" s="1"/>
  <c r="G143" i="1" s="1"/>
  <c r="H143" i="1" s="1"/>
  <c r="I143" i="1" s="1"/>
  <c r="B142" i="1"/>
  <c r="B141" i="1"/>
  <c r="C141" i="1" s="1"/>
  <c r="G141" i="1" s="1"/>
  <c r="H141" i="1" s="1"/>
  <c r="I141" i="1" s="1"/>
  <c r="B140" i="1"/>
  <c r="C140" i="1" s="1"/>
  <c r="B139" i="1"/>
  <c r="C139" i="1" s="1"/>
  <c r="B138" i="1"/>
  <c r="C138" i="1" s="1"/>
  <c r="G138" i="1" s="1"/>
  <c r="H138" i="1" s="1"/>
  <c r="I138" i="1" s="1"/>
  <c r="C142" i="1" l="1"/>
  <c r="G142" i="1" s="1"/>
  <c r="H142" i="1" s="1"/>
  <c r="J171" i="1"/>
  <c r="G139" i="1"/>
  <c r="H139" i="1" s="1"/>
  <c r="I139" i="1" s="1"/>
  <c r="G140" i="1"/>
  <c r="H140" i="1" s="1"/>
  <c r="I140" i="1" s="1"/>
  <c r="B155" i="1"/>
  <c r="I142" i="1" l="1"/>
  <c r="E154" i="1"/>
  <c r="B156" i="1"/>
  <c r="C156" i="1" s="1"/>
  <c r="E156" i="1" s="1"/>
  <c r="C155" i="1"/>
  <c r="E155" i="1" s="1"/>
  <c r="J163" i="1"/>
  <c r="B157" i="1" l="1"/>
  <c r="C157" i="1" s="1"/>
  <c r="D157" i="1" s="1"/>
  <c r="E157" i="1" s="1"/>
  <c r="B158" i="1" l="1"/>
  <c r="C158" i="1" s="1"/>
  <c r="E158" i="1" s="1"/>
  <c r="B159" i="1"/>
  <c r="D159" i="1" s="1"/>
  <c r="E159" i="1" s="1"/>
  <c r="E160" i="1" s="1"/>
  <c r="E161" i="1" s="1"/>
  <c r="E162" i="1" s="1"/>
  <c r="E163" i="1" s="1"/>
  <c r="B37" i="1" l="1"/>
  <c r="D15" i="1" l="1"/>
  <c r="D26" i="1" l="1"/>
  <c r="B29" i="1" s="1"/>
  <c r="F51" i="1" l="1"/>
  <c r="D52" i="1" s="1"/>
  <c r="E52" i="1" s="1"/>
  <c r="F52" i="1" s="1"/>
  <c r="D53" i="1" s="1"/>
  <c r="E53" i="1" s="1"/>
  <c r="F53" i="1" s="1"/>
  <c r="D54" i="1" s="1"/>
  <c r="B36" i="1"/>
  <c r="B137" i="1" l="1"/>
  <c r="C137" i="1" s="1"/>
  <c r="G137" i="1" s="1"/>
  <c r="B35" i="1"/>
  <c r="E54" i="1"/>
  <c r="F54" i="1" s="1"/>
  <c r="D55" i="1" s="1"/>
  <c r="E55" i="1" s="1"/>
  <c r="F55" i="1" s="1"/>
  <c r="D56" i="1" s="1"/>
  <c r="K51" i="1"/>
  <c r="I137" i="1" l="1"/>
  <c r="K52" i="1"/>
  <c r="E56" i="1"/>
  <c r="F56" i="1" s="1"/>
  <c r="J52" i="1"/>
  <c r="E138" i="1" s="1"/>
  <c r="F138" i="1" s="1"/>
  <c r="L51" i="1"/>
  <c r="B54" i="1" l="1"/>
  <c r="L52" i="1"/>
  <c r="D36" i="1"/>
  <c r="H36" i="1"/>
  <c r="F36" i="1" l="1"/>
  <c r="D37" i="1" s="1"/>
  <c r="E37" i="1" s="1"/>
  <c r="F37" i="1" s="1"/>
  <c r="J154" i="1" l="1"/>
  <c r="J159" i="1" s="1"/>
  <c r="I36" i="1" l="1"/>
  <c r="G37" i="1" s="1"/>
  <c r="H37" i="1" l="1"/>
  <c r="I37" i="1" s="1"/>
  <c r="G38" i="1" s="1"/>
  <c r="H38" i="1" l="1"/>
  <c r="I38" i="1" s="1"/>
  <c r="G39" i="1" s="1"/>
  <c r="H39" i="1" l="1"/>
  <c r="I39" i="1" s="1"/>
  <c r="G40" i="1" s="1"/>
  <c r="H40" i="1" l="1"/>
  <c r="I40" i="1" s="1"/>
  <c r="G41" i="1" s="1"/>
  <c r="H41" i="1" l="1"/>
  <c r="I41" i="1" s="1"/>
  <c r="D38" i="1"/>
  <c r="E38" i="1" s="1"/>
  <c r="F38" i="1" l="1"/>
  <c r="D39" i="1" s="1"/>
  <c r="E39" i="1" s="1"/>
  <c r="K36" i="1" l="1"/>
  <c r="F39" i="1"/>
  <c r="D40" i="1" s="1"/>
  <c r="E40" i="1" s="1"/>
  <c r="F40" i="1" l="1"/>
  <c r="D41" i="1" s="1"/>
  <c r="E41" i="1" s="1"/>
  <c r="L36" i="1"/>
  <c r="J37" i="1"/>
  <c r="K37" i="1" l="1"/>
  <c r="L37" i="1" s="1"/>
  <c r="F41" i="1"/>
  <c r="F137" i="1"/>
  <c r="B39" i="1"/>
</calcChain>
</file>

<file path=xl/sharedStrings.xml><?xml version="1.0" encoding="utf-8"?>
<sst xmlns="http://schemas.openxmlformats.org/spreadsheetml/2006/main" count="271" uniqueCount="97">
  <si>
    <t>I 1° irrigação</t>
  </si>
  <si>
    <t>I 3° irrigação</t>
  </si>
  <si>
    <t>%</t>
  </si>
  <si>
    <t>m</t>
  </si>
  <si>
    <t>n</t>
  </si>
  <si>
    <t>IRN</t>
  </si>
  <si>
    <t>mm</t>
  </si>
  <si>
    <t>ETC</t>
  </si>
  <si>
    <t>mm/dia</t>
  </si>
  <si>
    <t>l/s</t>
  </si>
  <si>
    <t>Vmax não erosiva</t>
  </si>
  <si>
    <t>m/min</t>
  </si>
  <si>
    <t>p1</t>
  </si>
  <si>
    <t>p2</t>
  </si>
  <si>
    <t>Qmáx</t>
  </si>
  <si>
    <t>m³/min</t>
  </si>
  <si>
    <t>1° vazão a ser testada</t>
  </si>
  <si>
    <t>L/s/m</t>
  </si>
  <si>
    <t>correção</t>
  </si>
  <si>
    <t>ta (i)</t>
  </si>
  <si>
    <t>r</t>
  </si>
  <si>
    <t>ta (i+1)</t>
  </si>
  <si>
    <t>r(i+1)</t>
  </si>
  <si>
    <t>taméd (i)</t>
  </si>
  <si>
    <t>r(i)</t>
  </si>
  <si>
    <t>k</t>
  </si>
  <si>
    <t>VIB</t>
  </si>
  <si>
    <t>taméd(i+1)</t>
  </si>
  <si>
    <t>Q0 (L/s)</t>
  </si>
  <si>
    <t>ta (min)</t>
  </si>
  <si>
    <t>p</t>
  </si>
  <si>
    <t>y0</t>
  </si>
  <si>
    <t>Ea (%)</t>
  </si>
  <si>
    <t>Pp (%)</t>
  </si>
  <si>
    <t>Pe (%)</t>
  </si>
  <si>
    <t>Parâmetro</t>
  </si>
  <si>
    <t>Valor</t>
  </si>
  <si>
    <t>Unidade</t>
  </si>
  <si>
    <t>k (1° irrigação)</t>
  </si>
  <si>
    <t>k (3° irrigação)</t>
  </si>
  <si>
    <t>a (1° irrigação)</t>
  </si>
  <si>
    <t>a (3° irrigação)</t>
  </si>
  <si>
    <t>Vib (1° irrigação)</t>
  </si>
  <si>
    <t>Vib (3° irrigação)</t>
  </si>
  <si>
    <t>Largura área</t>
  </si>
  <si>
    <t>Comprimento área</t>
  </si>
  <si>
    <t>Declividade (long)</t>
  </si>
  <si>
    <t>Qt disponível</t>
  </si>
  <si>
    <t>Dados de entrada</t>
  </si>
  <si>
    <t>Cálculos iniciais</t>
  </si>
  <si>
    <t>A0</t>
  </si>
  <si>
    <t>Q0 (m³/min)</t>
  </si>
  <si>
    <t>r (atribuído)</t>
  </si>
  <si>
    <r>
      <rPr>
        <b/>
        <sz val="11"/>
        <color theme="1"/>
        <rFont val="Aptos Narrow"/>
        <family val="2"/>
      </rPr>
      <t>σ</t>
    </r>
    <r>
      <rPr>
        <b/>
        <sz val="11"/>
        <color theme="1"/>
        <rFont val="Calibri"/>
        <family val="2"/>
        <scheme val="minor"/>
      </rPr>
      <t>z</t>
    </r>
  </si>
  <si>
    <t>Ta total (m)</t>
  </si>
  <si>
    <r>
      <rPr>
        <b/>
        <sz val="11"/>
        <color theme="1"/>
        <rFont val="Aptos Narrow"/>
        <family val="2"/>
      </rPr>
      <t>σ</t>
    </r>
    <r>
      <rPr>
        <b/>
        <sz val="11"/>
        <color theme="1"/>
        <rFont val="Calibri"/>
        <family val="2"/>
        <scheme val="minor"/>
      </rPr>
      <t>z (médio)</t>
    </r>
  </si>
  <si>
    <t>L (médio) (m)</t>
  </si>
  <si>
    <t>Ta médio (m)</t>
  </si>
  <si>
    <t>m/m</t>
  </si>
  <si>
    <t>Valor convertido</t>
  </si>
  <si>
    <t>PARA Q0 = 3,0l/S</t>
  </si>
  <si>
    <t>x (m)</t>
  </si>
  <si>
    <t>I (m3/m)</t>
  </si>
  <si>
    <t>Soma</t>
  </si>
  <si>
    <t>Volume Inf. (m³)</t>
  </si>
  <si>
    <t>min</t>
  </si>
  <si>
    <t>horas</t>
  </si>
  <si>
    <t>TDF</t>
  </si>
  <si>
    <t>Adotado</t>
  </si>
  <si>
    <t>NPD</t>
  </si>
  <si>
    <t>parcelas/dia</t>
  </si>
  <si>
    <t>APP</t>
  </si>
  <si>
    <t>m²</t>
  </si>
  <si>
    <t>há</t>
  </si>
  <si>
    <t>W0</t>
  </si>
  <si>
    <t>QT</t>
  </si>
  <si>
    <t>L/s</t>
  </si>
  <si>
    <t>Vazões (L/s)</t>
  </si>
  <si>
    <t>Vazões (m³/min)</t>
  </si>
  <si>
    <t>ti (min)</t>
  </si>
  <si>
    <t>ENCONTRANDO AS MELHORES EFICIÊNCIAS</t>
  </si>
  <si>
    <t>Determinação do Tempo de irrigação e Eficiencia de aplicação (TESTAR DIFERENTES VAZÕES)</t>
  </si>
  <si>
    <t>PARA Q0 = 14,55l/S</t>
  </si>
  <si>
    <t>PARA Q0 = 12l/S</t>
  </si>
  <si>
    <t>PARA Q0 = 10,0l/S</t>
  </si>
  <si>
    <t>PARA Q0 = 8,0l/S</t>
  </si>
  <si>
    <t>PARA Q0 = 6,0l/S</t>
  </si>
  <si>
    <t>PARA Q0 = 5,0l/S</t>
  </si>
  <si>
    <t>PARA Q0 = 4,0l/S</t>
  </si>
  <si>
    <t>PARA Q0 = 2,0l/S</t>
  </si>
  <si>
    <t>Criar cenários para diferentes vazões de entrada, determinando Ti e Ea. Deve-se trabalhar com uma vazão de entrada tal que Ta &lt; Ti. Logo, 5; 4; 3 e 2L/s. Optou-se pela primeira com maior Ea, portanto a de 5L/s.</t>
  </si>
  <si>
    <t>TPP</t>
  </si>
  <si>
    <t>NTP</t>
  </si>
  <si>
    <t>tabuleiros</t>
  </si>
  <si>
    <t>Vazão maior que a disponível (400L/s). Sendo assim, é possível irrigar em 1,5 dias, ou reduzir ainda mais a vazão de entrada.</t>
  </si>
  <si>
    <t>de 100m</t>
  </si>
  <si>
    <t>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</si>
</sst>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33CC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8" fillId="2" borderId="1" xfId="0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64" fontId="0" fillId="0" borderId="5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1158239</xdr:colOff>
      <xdr:row>0</xdr:row>
      <xdr:rowOff>68579</xdr:rowOff>
    </xdr:from>
    <xdr:to>
      <xdr:col>2</xdr:col>
      <xdr:colOff>1039812</xdr:colOff>
      <xdr:row>3</xdr:row>
      <xdr:rowOff>174470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F9A68C-7358-40F9-858C-0A7FFAF6C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39" y="68579"/>
          <a:ext cx="2185035" cy="677391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42</xdr:row>
      <xdr:rowOff>121702</xdr:rowOff>
    </xdr:from>
    <xdr:to>
      <xdr:col>1</xdr:col>
      <xdr:colOff>631031</xdr:colOff>
      <xdr:row>45</xdr:row>
      <xdr:rowOff>161973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49E2ADA-BC86-FA4A-E778-8D0EAAAF4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4" y="8122702"/>
          <a:ext cx="1983582" cy="611771"/>
        </a:xfrm>
        <a:prstGeom prst="rect">
          <a:avLst/>
        </a:prstGeom>
        <a:ln>
          <a:solidFill>
            <a:srgbClr val="FF33CC"/>
          </a:solidFill>
        </a:ln>
      </xdr:spPr>
    </xdr:pic>
    <xdr:clientData/>
  </xdr:twoCellAnchor>
  <xdr:twoCellAnchor editAs="oneCell">
    <xdr:from>
      <xdr:col>5</xdr:col>
      <xdr:colOff>112349</xdr:colOff>
      <xdr:row>41</xdr:row>
      <xdr:rowOff>161925</xdr:rowOff>
    </xdr:from>
    <xdr:to>
      <xdr:col>8</xdr:col>
      <xdr:colOff>964038</xdr:colOff>
      <xdr:row>46</xdr:row>
      <xdr:rowOff>114941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7E5FAC3-B9E7-996D-652C-1F94C34CF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13024" y="7972425"/>
          <a:ext cx="3652039" cy="905516"/>
        </a:xfrm>
        <a:prstGeom prst="rect">
          <a:avLst/>
        </a:prstGeom>
        <a:ln>
          <a:solidFill>
            <a:srgbClr val="FF33CC"/>
          </a:solidFill>
        </a:ln>
      </xdr:spPr>
    </xdr:pic>
    <xdr:clientData/>
  </xdr:twoCellAnchor>
  <xdr:twoCellAnchor editAs="oneCell">
    <xdr:from>
      <xdr:col>2</xdr:col>
      <xdr:colOff>23811</xdr:colOff>
      <xdr:row>42</xdr:row>
      <xdr:rowOff>48564</xdr:rowOff>
    </xdr:from>
    <xdr:to>
      <xdr:col>4</xdr:col>
      <xdr:colOff>691355</xdr:colOff>
      <xdr:row>46</xdr:row>
      <xdr:rowOff>76996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98414F85-C169-F6B9-E2E9-17AE38DEB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8861" y="8049564"/>
          <a:ext cx="3088482" cy="790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95251</xdr:colOff>
      <xdr:row>43</xdr:row>
      <xdr:rowOff>9526</xdr:rowOff>
    </xdr:from>
    <xdr:to>
      <xdr:col>13</xdr:col>
      <xdr:colOff>201203</xdr:colOff>
      <xdr:row>46</xdr:row>
      <xdr:rowOff>47832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5CB1F2C-3BBE-7D39-DD47-59062B01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67826" y="8201026"/>
          <a:ext cx="2792002" cy="609806"/>
        </a:xfrm>
        <a:prstGeom prst="rect">
          <a:avLst/>
        </a:prstGeom>
      </xdr:spPr>
    </xdr:pic>
    <xdr:clientData/>
  </xdr:twoCellAnchor>
  <xdr:twoCellAnchor>
    <xdr:from>
      <xdr:col>5</xdr:col>
      <xdr:colOff>196935</xdr:colOff>
      <xdr:row>161</xdr:row>
      <xdr:rowOff>90236</xdr:rowOff>
    </xdr:from>
    <xdr:to>
      <xdr:col>7</xdr:col>
      <xdr:colOff>108025</xdr:colOff>
      <xdr:row>164</xdr:row>
      <xdr:rowOff>35844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32530D-11F9-4AFB-85DF-69F8CAA8D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1988" y="30825907"/>
          <a:ext cx="1871234" cy="51710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228600</xdr:colOff>
      <xdr:row>164</xdr:row>
      <xdr:rowOff>103865</xdr:rowOff>
    </xdr:from>
    <xdr:to>
      <xdr:col>6</xdr:col>
      <xdr:colOff>876300</xdr:colOff>
      <xdr:row>165</xdr:row>
      <xdr:rowOff>137564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8FB5F089-A2CB-F02A-9E4E-528370A37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29275" y="30983915"/>
          <a:ext cx="1666875" cy="224199"/>
        </a:xfrm>
        <a:prstGeom prst="rect">
          <a:avLst/>
        </a:prstGeom>
      </xdr:spPr>
    </xdr:pic>
    <xdr:clientData/>
  </xdr:twoCellAnchor>
  <xdr:twoCellAnchor editAs="oneCell">
    <xdr:from>
      <xdr:col>5</xdr:col>
      <xdr:colOff>193096</xdr:colOff>
      <xdr:row>25</xdr:row>
      <xdr:rowOff>21604</xdr:rowOff>
    </xdr:from>
    <xdr:to>
      <xdr:col>8</xdr:col>
      <xdr:colOff>60613</xdr:colOff>
      <xdr:row>28</xdr:row>
      <xdr:rowOff>173182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325EAEE-4CBE-89E3-F366-3461E8F65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5028" y="4784104"/>
          <a:ext cx="2673062" cy="723078"/>
        </a:xfrm>
        <a:prstGeom prst="rect">
          <a:avLst/>
        </a:prstGeom>
      </xdr:spPr>
    </xdr:pic>
    <xdr:clientData/>
  </xdr:twoCellAnchor>
  <xdr:twoCellAnchor editAs="oneCell">
    <xdr:from>
      <xdr:col>9</xdr:col>
      <xdr:colOff>73819</xdr:colOff>
      <xdr:row>37</xdr:row>
      <xdr:rowOff>102037</xdr:rowOff>
    </xdr:from>
    <xdr:to>
      <xdr:col>13</xdr:col>
      <xdr:colOff>428625</xdr:colOff>
      <xdr:row>42</xdr:row>
      <xdr:rowOff>54494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BCF4700E-239D-A4C2-8CB6-F844C978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46394" y="7150537"/>
          <a:ext cx="3040856" cy="904957"/>
        </a:xfrm>
        <a:prstGeom prst="rect">
          <a:avLst/>
        </a:prstGeom>
      </xdr:spPr>
    </xdr:pic>
    <xdr:clientData/>
  </xdr:twoCellAnchor>
  <xdr:twoCellAnchor editAs="oneCell">
    <xdr:from>
      <xdr:col>4</xdr:col>
      <xdr:colOff>255492</xdr:colOff>
      <xdr:row>145</xdr:row>
      <xdr:rowOff>21696</xdr:rowOff>
    </xdr:from>
    <xdr:to>
      <xdr:col>6</xdr:col>
      <xdr:colOff>310484</xdr:colOff>
      <xdr:row>149</xdr:row>
      <xdr:rowOff>2646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C98FFCF4-8A68-8CB0-26AC-12B7C04BA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78305" y="27707696"/>
          <a:ext cx="2079054" cy="742950"/>
        </a:xfrm>
        <a:prstGeom prst="rect">
          <a:avLst/>
        </a:prstGeom>
      </xdr:spPr>
    </xdr:pic>
    <xdr:clientData/>
  </xdr:twoCellAnchor>
  <xdr:twoCellAnchor editAs="oneCell">
    <xdr:from>
      <xdr:col>9</xdr:col>
      <xdr:colOff>500063</xdr:colOff>
      <xdr:row>144</xdr:row>
      <xdr:rowOff>134937</xdr:rowOff>
    </xdr:from>
    <xdr:to>
      <xdr:col>14</xdr:col>
      <xdr:colOff>50702</xdr:colOff>
      <xdr:row>149</xdr:row>
      <xdr:rowOff>6328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E905743-9F48-4179-B18E-2E8FEEDF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01251" y="27630437"/>
          <a:ext cx="2844701" cy="823891"/>
        </a:xfrm>
        <a:prstGeom prst="rect">
          <a:avLst/>
        </a:prstGeom>
      </xdr:spPr>
    </xdr:pic>
    <xdr:clientData/>
  </xdr:twoCellAnchor>
  <xdr:twoCellAnchor editAs="oneCell">
    <xdr:from>
      <xdr:col>5</xdr:col>
      <xdr:colOff>100693</xdr:colOff>
      <xdr:row>157</xdr:row>
      <xdr:rowOff>129268</xdr:rowOff>
    </xdr:from>
    <xdr:to>
      <xdr:col>7</xdr:col>
      <xdr:colOff>680357</xdr:colOff>
      <xdr:row>161</xdr:row>
      <xdr:rowOff>78838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4049E7DD-A693-4DA0-AECE-E74224FE4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36104" y="30099000"/>
          <a:ext cx="2545896" cy="71157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152</xdr:row>
      <xdr:rowOff>37899</xdr:rowOff>
    </xdr:from>
    <xdr:to>
      <xdr:col>12</xdr:col>
      <xdr:colOff>390525</xdr:colOff>
      <xdr:row>153</xdr:row>
      <xdr:rowOff>171249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B9A2F1E4-6CC1-D23A-3FCD-4291DF426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610850" y="28631949"/>
          <a:ext cx="971550" cy="32385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157</xdr:row>
      <xdr:rowOff>166054</xdr:rowOff>
    </xdr:from>
    <xdr:to>
      <xdr:col>12</xdr:col>
      <xdr:colOff>247650</xdr:colOff>
      <xdr:row>160</xdr:row>
      <xdr:rowOff>8844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EC172F49-D46F-EE2A-756C-69CFCFB2F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629900" y="29712604"/>
          <a:ext cx="809625" cy="41429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66676</xdr:colOff>
      <xdr:row>163</xdr:row>
      <xdr:rowOff>172542</xdr:rowOff>
    </xdr:from>
    <xdr:to>
      <xdr:col>12</xdr:col>
      <xdr:colOff>314326</xdr:colOff>
      <xdr:row>166</xdr:row>
      <xdr:rowOff>42862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4E7DE23-68A6-76DC-A1BC-564EEC1DE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1" y="30862092"/>
          <a:ext cx="857250" cy="441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76200</xdr:colOff>
      <xdr:row>166</xdr:row>
      <xdr:rowOff>140981</xdr:rowOff>
    </xdr:from>
    <xdr:to>
      <xdr:col>13</xdr:col>
      <xdr:colOff>552450</xdr:colOff>
      <xdr:row>168</xdr:row>
      <xdr:rowOff>74613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00EED45-85EB-6901-DE5A-F73C06F8E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58475" y="31402031"/>
          <a:ext cx="1724025" cy="3146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38101</xdr:colOff>
      <xdr:row>169</xdr:row>
      <xdr:rowOff>85725</xdr:rowOff>
    </xdr:from>
    <xdr:to>
      <xdr:col>12</xdr:col>
      <xdr:colOff>419100</xdr:colOff>
      <xdr:row>171</xdr:row>
      <xdr:rowOff>50674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4F284798-738D-EB9C-FF5F-3D0B00E88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1" y="32299275"/>
          <a:ext cx="990599" cy="345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66675</xdr:colOff>
      <xdr:row>160</xdr:row>
      <xdr:rowOff>123825</xdr:rowOff>
    </xdr:from>
    <xdr:to>
      <xdr:col>12</xdr:col>
      <xdr:colOff>523875</xdr:colOff>
      <xdr:row>162</xdr:row>
      <xdr:rowOff>187325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D71340A6-BCEA-4701-5404-60B8D0F8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30241875"/>
          <a:ext cx="1066800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447285</xdr:colOff>
      <xdr:row>145</xdr:row>
      <xdr:rowOff>58450</xdr:rowOff>
    </xdr:from>
    <xdr:to>
      <xdr:col>9</xdr:col>
      <xdr:colOff>320386</xdr:colOff>
      <xdr:row>149</xdr:row>
      <xdr:rowOff>14272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61A3A6-8BE4-A442-FB53-091AEFB29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218694" y="27750223"/>
          <a:ext cx="2626692" cy="717822"/>
        </a:xfrm>
        <a:prstGeom prst="rect">
          <a:avLst/>
        </a:prstGeom>
        <a:ln>
          <a:solidFill>
            <a:srgbClr val="FF33CC"/>
          </a:solidFill>
        </a:ln>
      </xdr:spPr>
    </xdr:pic>
    <xdr:clientData/>
  </xdr:twoCellAnchor>
  <xdr:twoCellAnchor editAs="oneCell">
    <xdr:from>
      <xdr:col>0</xdr:col>
      <xdr:colOff>941161</xdr:colOff>
      <xdr:row>163</xdr:row>
      <xdr:rowOff>3732</xdr:rowOff>
    </xdr:from>
    <xdr:to>
      <xdr:col>5</xdr:col>
      <xdr:colOff>99786</xdr:colOff>
      <xdr:row>166</xdr:row>
      <xdr:rowOff>156851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C4F12D-04B2-7425-F016-BD536A26B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41161" y="31116464"/>
          <a:ext cx="4894036" cy="724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592E-E6AB-4683-985E-07DA2433E8ED}">
  <dimension ref="A2:N177"/>
  <sheetViews>
    <sheetView tabSelected="1" topLeftCell="B150" zoomScale="160" zoomScaleNormal="160" workbookViewId="0">
      <selection activeCell="J166" sqref="J166"/>
    </sheetView>
  </sheetViews>
  <sheetFormatPr defaultRowHeight="15" x14ac:dyDescent="0.25"/>
  <cols>
    <col min="1" max="1" width="21" style="1" customWidth="1"/>
    <col min="2" max="2" width="13.5703125" style="1" bestFit="1" customWidth="1"/>
    <col min="3" max="3" width="19.85546875" style="1" bestFit="1" customWidth="1"/>
    <col min="4" max="4" width="16.42578125" bestFit="1" customWidth="1"/>
    <col min="5" max="5" width="15.140625" customWidth="1"/>
    <col min="6" max="6" width="15.28515625" bestFit="1" customWidth="1"/>
    <col min="7" max="7" width="14.140625" bestFit="1" customWidth="1"/>
    <col min="8" max="8" width="12.5703125" bestFit="1" customWidth="1"/>
    <col min="9" max="9" width="14.5703125" bestFit="1" customWidth="1"/>
    <col min="10" max="10" width="9.5703125" bestFit="1" customWidth="1"/>
    <col min="11" max="11" width="12" bestFit="1" customWidth="1"/>
    <col min="13" max="13" width="9.5703125" bestFit="1" customWidth="1"/>
    <col min="15" max="15" width="21.5703125" bestFit="1" customWidth="1"/>
    <col min="16" max="16" width="11.85546875" bestFit="1" customWidth="1"/>
  </cols>
  <sheetData>
    <row r="2" spans="1:5" x14ac:dyDescent="0.25">
      <c r="A2" s="1" t="s">
        <v>0</v>
      </c>
    </row>
    <row r="3" spans="1:5" x14ac:dyDescent="0.25">
      <c r="A3" s="1" t="s">
        <v>1</v>
      </c>
    </row>
    <row r="5" spans="1:5" x14ac:dyDescent="0.25">
      <c r="A5" s="40" t="s">
        <v>48</v>
      </c>
      <c r="B5" s="40"/>
      <c r="C5" s="40"/>
      <c r="D5" s="40"/>
      <c r="E5" s="40"/>
    </row>
    <row r="6" spans="1:5" x14ac:dyDescent="0.25">
      <c r="A6" s="4" t="s">
        <v>35</v>
      </c>
      <c r="B6" s="4" t="s">
        <v>36</v>
      </c>
      <c r="C6" s="4" t="s">
        <v>37</v>
      </c>
      <c r="D6" s="4" t="s">
        <v>59</v>
      </c>
      <c r="E6" s="4" t="s">
        <v>37</v>
      </c>
    </row>
    <row r="7" spans="1:5" x14ac:dyDescent="0.25">
      <c r="A7" s="2" t="s">
        <v>38</v>
      </c>
      <c r="B7" s="2">
        <v>3.5000000000000001E-3</v>
      </c>
      <c r="C7" s="2"/>
      <c r="D7" s="2"/>
      <c r="E7" s="2"/>
    </row>
    <row r="8" spans="1:5" x14ac:dyDescent="0.25">
      <c r="A8" s="2" t="s">
        <v>39</v>
      </c>
      <c r="B8" s="2">
        <v>3.3999999999999998E-3</v>
      </c>
      <c r="C8" s="2"/>
      <c r="D8" s="2"/>
      <c r="E8" s="2"/>
    </row>
    <row r="9" spans="1:5" x14ac:dyDescent="0.25">
      <c r="A9" s="2" t="s">
        <v>40</v>
      </c>
      <c r="B9" s="2">
        <v>0.47</v>
      </c>
      <c r="C9" s="2"/>
      <c r="D9" s="2"/>
      <c r="E9" s="2"/>
    </row>
    <row r="10" spans="1:5" x14ac:dyDescent="0.25">
      <c r="A10" s="2" t="s">
        <v>41</v>
      </c>
      <c r="B10" s="2">
        <v>0.45</v>
      </c>
      <c r="C10" s="2"/>
      <c r="D10" s="2"/>
      <c r="E10" s="2"/>
    </row>
    <row r="11" spans="1:5" x14ac:dyDescent="0.25">
      <c r="A11" s="2" t="s">
        <v>42</v>
      </c>
      <c r="B11" s="2">
        <v>1.1E-4</v>
      </c>
      <c r="C11" s="2"/>
      <c r="D11" s="2"/>
      <c r="E11" s="2"/>
    </row>
    <row r="12" spans="1:5" x14ac:dyDescent="0.25">
      <c r="A12" s="2" t="s">
        <v>43</v>
      </c>
      <c r="B12" s="2">
        <v>1E-4</v>
      </c>
      <c r="C12" s="2"/>
      <c r="D12" s="2"/>
      <c r="E12" s="2"/>
    </row>
    <row r="13" spans="1:5" x14ac:dyDescent="0.25">
      <c r="A13" s="2" t="s">
        <v>44</v>
      </c>
      <c r="B13" s="2">
        <v>400</v>
      </c>
      <c r="C13" s="2" t="s">
        <v>3</v>
      </c>
      <c r="D13" s="2"/>
      <c r="E13" s="2"/>
    </row>
    <row r="14" spans="1:5" x14ac:dyDescent="0.25">
      <c r="A14" s="2" t="s">
        <v>45</v>
      </c>
      <c r="B14" s="2">
        <v>200</v>
      </c>
      <c r="C14" s="2" t="s">
        <v>3</v>
      </c>
      <c r="D14" s="2"/>
      <c r="E14" s="2"/>
    </row>
    <row r="15" spans="1:5" x14ac:dyDescent="0.25">
      <c r="A15" s="2" t="s">
        <v>46</v>
      </c>
      <c r="B15" s="2">
        <v>0</v>
      </c>
      <c r="C15" s="2" t="s">
        <v>2</v>
      </c>
      <c r="D15" s="2">
        <f>B15/100</f>
        <v>0</v>
      </c>
      <c r="E15" s="2" t="s">
        <v>58</v>
      </c>
    </row>
    <row r="16" spans="1:5" x14ac:dyDescent="0.25">
      <c r="A16" s="2" t="s">
        <v>4</v>
      </c>
      <c r="B16" s="2">
        <v>0.04</v>
      </c>
      <c r="C16" s="2"/>
      <c r="D16" s="2"/>
      <c r="E16" s="2"/>
    </row>
    <row r="17" spans="1:14" x14ac:dyDescent="0.25">
      <c r="A17" s="2" t="s">
        <v>5</v>
      </c>
      <c r="B17" s="2">
        <v>56</v>
      </c>
      <c r="C17" s="2" t="s">
        <v>6</v>
      </c>
      <c r="D17" s="2">
        <v>5.6000000000000001E-2</v>
      </c>
      <c r="E17" s="2" t="s">
        <v>3</v>
      </c>
    </row>
    <row r="18" spans="1:14" x14ac:dyDescent="0.25">
      <c r="A18" s="2" t="s">
        <v>7</v>
      </c>
      <c r="B18" s="2">
        <v>8</v>
      </c>
      <c r="C18" s="2" t="s">
        <v>8</v>
      </c>
      <c r="D18" s="2"/>
      <c r="E18" s="2"/>
    </row>
    <row r="19" spans="1:14" x14ac:dyDescent="0.25">
      <c r="A19" s="2" t="s">
        <v>47</v>
      </c>
      <c r="B19" s="2">
        <v>400</v>
      </c>
      <c r="C19" s="2" t="s">
        <v>9</v>
      </c>
      <c r="D19" s="2"/>
      <c r="E19" s="2"/>
    </row>
    <row r="20" spans="1:14" x14ac:dyDescent="0.25">
      <c r="A20" s="2" t="s">
        <v>10</v>
      </c>
      <c r="B20" s="2">
        <v>8</v>
      </c>
      <c r="C20" s="2" t="s">
        <v>11</v>
      </c>
      <c r="D20" s="2"/>
      <c r="E20" s="2"/>
    </row>
    <row r="21" spans="1:14" x14ac:dyDescent="0.25">
      <c r="A21" s="2" t="s">
        <v>12</v>
      </c>
      <c r="B21" s="2">
        <v>1</v>
      </c>
      <c r="C21" s="2"/>
      <c r="D21" s="2"/>
      <c r="E21" s="2"/>
    </row>
    <row r="22" spans="1:14" x14ac:dyDescent="0.25">
      <c r="A22" s="2" t="s">
        <v>13</v>
      </c>
      <c r="B22" s="2">
        <v>3.3</v>
      </c>
      <c r="C22" s="2"/>
      <c r="D22" s="2"/>
      <c r="E22" s="2"/>
    </row>
    <row r="23" spans="1:14" x14ac:dyDescent="0.25">
      <c r="D23" s="1"/>
      <c r="E23" s="1"/>
    </row>
    <row r="24" spans="1:14" x14ac:dyDescent="0.25">
      <c r="A24" s="42" t="s">
        <v>49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6" spans="1:14" x14ac:dyDescent="0.25">
      <c r="A26" s="2" t="s">
        <v>14</v>
      </c>
      <c r="B26" s="6">
        <f>(((B20^(13/3))*(B16^2)*B14)/3600)^(3/7)</f>
        <v>0.87288874709789532</v>
      </c>
      <c r="C26" s="2" t="s">
        <v>15</v>
      </c>
      <c r="D26" s="5">
        <f>B26*1000/60</f>
        <v>14.548145784964923</v>
      </c>
      <c r="E26" s="2" t="s">
        <v>17</v>
      </c>
    </row>
    <row r="27" spans="1:14" x14ac:dyDescent="0.25">
      <c r="B27" s="7"/>
    </row>
    <row r="28" spans="1:14" x14ac:dyDescent="0.25">
      <c r="B28" s="7"/>
    </row>
    <row r="29" spans="1:14" x14ac:dyDescent="0.25">
      <c r="A29" s="2" t="s">
        <v>16</v>
      </c>
      <c r="B29" s="6">
        <f>D26</f>
        <v>14.548145784964923</v>
      </c>
      <c r="C29" s="2" t="s">
        <v>17</v>
      </c>
    </row>
    <row r="31" spans="1:14" x14ac:dyDescent="0.25">
      <c r="A31" s="42" t="s">
        <v>81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1:14" x14ac:dyDescent="0.25">
      <c r="A32" s="8"/>
      <c r="B32" s="8"/>
      <c r="C32" s="8"/>
      <c r="D32" s="8"/>
      <c r="E32" s="8"/>
      <c r="F32" s="8"/>
      <c r="G32" s="8"/>
    </row>
    <row r="33" spans="1:14" x14ac:dyDescent="0.25">
      <c r="A33" s="43" t="s">
        <v>82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spans="1:14" x14ac:dyDescent="0.25">
      <c r="A34" s="17" t="s">
        <v>50</v>
      </c>
      <c r="B34" s="38">
        <f>((B35^2*$B$16^2*$B$14)/3600)^(3/13)</f>
        <v>0.10911109338723689</v>
      </c>
      <c r="D34" s="41" t="s">
        <v>54</v>
      </c>
      <c r="E34" s="41"/>
      <c r="F34" s="41"/>
      <c r="G34" s="41" t="s">
        <v>57</v>
      </c>
      <c r="H34" s="41"/>
      <c r="I34" s="41"/>
      <c r="J34" s="41" t="s">
        <v>20</v>
      </c>
      <c r="K34" s="41"/>
      <c r="L34" s="41"/>
      <c r="M34" s="1"/>
      <c r="N34" s="1"/>
    </row>
    <row r="35" spans="1:14" x14ac:dyDescent="0.25">
      <c r="A35" s="3" t="s">
        <v>51</v>
      </c>
      <c r="B35" s="5">
        <f>B36*60/1000</f>
        <v>0.87288874709789532</v>
      </c>
      <c r="D35" s="2" t="s">
        <v>19</v>
      </c>
      <c r="E35" s="2" t="s">
        <v>18</v>
      </c>
      <c r="F35" s="2" t="s">
        <v>21</v>
      </c>
      <c r="G35" s="2" t="s">
        <v>23</v>
      </c>
      <c r="H35" s="2" t="s">
        <v>18</v>
      </c>
      <c r="I35" s="15" t="s">
        <v>27</v>
      </c>
      <c r="J35" s="2" t="s">
        <v>24</v>
      </c>
      <c r="K35" s="2" t="s">
        <v>22</v>
      </c>
      <c r="L35" s="2"/>
      <c r="M35" s="1"/>
      <c r="N35" s="1"/>
    </row>
    <row r="36" spans="1:14" x14ac:dyDescent="0.25">
      <c r="A36" s="3" t="s">
        <v>28</v>
      </c>
      <c r="B36" s="5">
        <f>B29</f>
        <v>14.548145784964923</v>
      </c>
      <c r="D36" s="5">
        <f>(5*(B34*B14)/B35)</f>
        <v>124.99999999999997</v>
      </c>
      <c r="E36" s="5">
        <f>((B35*D36)-(0.77*B34*$B$14)-(B37*$B$8*(D36^$B$10)*$B$14)-(($B$12*D36*$B$14)/(1+B38)))/(B35-((B37*$B$10*$B$8*$B$14)/(D36^(1-$B$10)))-(($B$12*$B$14)/(1+B38)))</f>
        <v>102.16519477685253</v>
      </c>
      <c r="F36" s="5">
        <f t="shared" ref="F36:F41" si="0">D36-E36</f>
        <v>22.834805223147441</v>
      </c>
      <c r="G36" s="5">
        <f>(5*(B34*B40))/B35</f>
        <v>62.499999999999986</v>
      </c>
      <c r="H36" s="13">
        <f>((B35*G36)-(0.77*B34*B40)-(B37*B41*(G36^$B$10)*B40)-((B42*G36*B40)/(1+J36)))/(B35-((B37*$B$10*B41*B40)/(G36^(1-$B$10)))-((B42*B40)/(1+J36)))</f>
        <v>51.610530650801678</v>
      </c>
      <c r="I36" s="5">
        <f t="shared" ref="I36:I41" si="1">G36-H36</f>
        <v>10.889469349198308</v>
      </c>
      <c r="J36" s="14">
        <f>B38</f>
        <v>0.65</v>
      </c>
      <c r="K36" s="2">
        <f>(LN(2)/((LN(D39))-LN(G39)))</f>
        <v>0.94785656629004023</v>
      </c>
      <c r="L36" s="2">
        <f>J36-K36</f>
        <v>-0.2978565662900402</v>
      </c>
      <c r="M36" s="1"/>
      <c r="N36" s="1"/>
    </row>
    <row r="37" spans="1:14" x14ac:dyDescent="0.25">
      <c r="A37" s="3" t="s">
        <v>53</v>
      </c>
      <c r="B37" s="12">
        <f>($B$10+B38*(1-$B$10)+1)/((1+$B$10)*(1+B38))</f>
        <v>0.75548589341692807</v>
      </c>
      <c r="D37" s="5">
        <f>F36</f>
        <v>22.834805223147441</v>
      </c>
      <c r="E37" s="5">
        <f>((B35*D37)-(0.77*B34*$B$14)-(B37*$B$8*(D37^$B$10)*$B$14)-(($B$12*D37*$B$14)/(1+B38)))/(B35-((B37*$B$10*$B$8*$B$14)/(D37^(1-$B$10)))-(($B$12*$B$14)/(1+B38)))</f>
        <v>0.91885887777954955</v>
      </c>
      <c r="F37" s="5">
        <f t="shared" si="0"/>
        <v>21.915946345367892</v>
      </c>
      <c r="G37" s="5">
        <f>I36</f>
        <v>10.889469349198308</v>
      </c>
      <c r="H37" s="13">
        <f>((B35*G37)-(0.77*B34*B40)-(B37*B41*(G37^$B$10)*B40)-((B42*G37*B40)/(1+J36)))/(B35-((B37*$B$10*B41*B40)/(G37^(1-$B$10)))-((B42*B40)/(1+J36)))</f>
        <v>0.34161375893815221</v>
      </c>
      <c r="I37" s="5">
        <f t="shared" si="1"/>
        <v>10.547855590260156</v>
      </c>
      <c r="J37" s="16">
        <f>K36</f>
        <v>0.94785656629004023</v>
      </c>
      <c r="K37" s="12">
        <f>(LN(2)/((LN(D41))-LN(G41)))</f>
        <v>0.9478565662991062</v>
      </c>
      <c r="L37" s="12">
        <f>J37-K37</f>
        <v>-9.0659701967865658E-12</v>
      </c>
      <c r="M37" s="1"/>
      <c r="N37" s="1"/>
    </row>
    <row r="38" spans="1:14" x14ac:dyDescent="0.25">
      <c r="A38" s="3" t="s">
        <v>52</v>
      </c>
      <c r="B38" s="2">
        <v>0.65</v>
      </c>
      <c r="D38" s="5">
        <f>F37</f>
        <v>21.915946345367892</v>
      </c>
      <c r="E38" s="5">
        <f>((B35*D38)-(0.77*B34*$B$14)-(B37*$B$8*(D38^$B$10)*$B$14)-(($B$12*D38*$B$14)/(1+B38)))/(B35-((B37*$B$10*$B$8*$B$14)/(D38^(1-$B$10)))-(($B$12*$B$14)/(1+B38)))</f>
        <v>5.2496541498725394E-4</v>
      </c>
      <c r="F38" s="5">
        <f t="shared" si="0"/>
        <v>21.915421379952907</v>
      </c>
      <c r="G38" s="5">
        <f>I37</f>
        <v>10.547855590260156</v>
      </c>
      <c r="H38" s="13">
        <f>((B35*G38)-(0.77*B34*B40)-(B37*B41*(G38^$B$10)*B40)-((B42*G38*B40)/(1+J36)))/(B35-((B37*$B$10*B41*B40)/(G38^(1-$B$10)))-((B42*B40)/(1+J36)))</f>
        <v>1.1150610891214753E-4</v>
      </c>
      <c r="I38" s="5">
        <f t="shared" si="1"/>
        <v>10.547744084151244</v>
      </c>
      <c r="J38" s="1"/>
      <c r="K38" s="1"/>
      <c r="L38" s="1"/>
    </row>
    <row r="39" spans="1:14" x14ac:dyDescent="0.25">
      <c r="A39" s="3" t="s">
        <v>55</v>
      </c>
      <c r="B39" s="2">
        <f>($B$10+J37*(1-$B$10)+1)/((1+$B$10)*(1+J37))</f>
        <v>0.697962994059661</v>
      </c>
      <c r="D39" s="5">
        <f>F38</f>
        <v>21.915421379952907</v>
      </c>
      <c r="E39" s="5">
        <f>((B35*D39)-(0.77*B34*$B$14)-(B37*$B$8*(D39^$B$10)*$B$14)-(($B$12*D39*$B$14)/(1+B38)))/(B35-((B37*$B$10*$B$8*$B$14)/(D39^(1-$B$10)))-(($B$12*$B$14)/(1+B38)))</f>
        <v>1.7880469162842575E-10</v>
      </c>
      <c r="F39" s="5">
        <f t="shared" si="0"/>
        <v>21.915421379774102</v>
      </c>
      <c r="G39" s="5">
        <f>I38</f>
        <v>10.547744084151244</v>
      </c>
      <c r="H39" s="13">
        <f>((B35*G39)-(0.77*B34*B40)-(B37*B41*(G39^$B$10)*B40)-((B42*G39*B40)/(1+J36)))/(B35-((B37*$B$10*B41*B40)/(G39^(1-$B$10)))-((B42*B40)/(1+J36)))</f>
        <v>1.2279530144356247E-11</v>
      </c>
      <c r="I39" s="5">
        <f t="shared" si="1"/>
        <v>10.547744084138964</v>
      </c>
      <c r="J39" s="1"/>
      <c r="K39" s="1"/>
      <c r="L39" s="1"/>
    </row>
    <row r="40" spans="1:14" x14ac:dyDescent="0.25">
      <c r="A40" s="3" t="s">
        <v>56</v>
      </c>
      <c r="B40" s="2">
        <v>100</v>
      </c>
      <c r="D40" s="5">
        <f>F39</f>
        <v>21.915421379774102</v>
      </c>
      <c r="E40" s="5">
        <f>((B35*D40)-(0.77*B34*$B$14)-(B37*$B$8*(D40^$B$10)*$B$14)-(($B$12*D40*$B$14)/(1+B38)))/(B35-((B37*$B$10*$B$8*$B$14)/(D40^(1-$B$10)))-(($B$12*$B$14)/(1+B38)))</f>
        <v>-9.4954793448721378E-16</v>
      </c>
      <c r="F40" s="5">
        <f t="shared" si="0"/>
        <v>21.915421379774102</v>
      </c>
      <c r="G40" s="5">
        <f>I39</f>
        <v>10.547744084138964</v>
      </c>
      <c r="H40" s="13">
        <f>((B35*G40)-(0.77*B34*B40)-(B37*B41*(G40^$B$10)*B40)-((B42*G40*B40)/(1+J36)))/(B35-((B37*$B$10*B41*B40)/(G40^(1-$B$10)))-((B42*B40)/(1+J36)))</f>
        <v>1.4954651423562043E-16</v>
      </c>
      <c r="I40" s="5">
        <f t="shared" si="1"/>
        <v>10.547744084138964</v>
      </c>
    </row>
    <row r="41" spans="1:14" x14ac:dyDescent="0.25">
      <c r="A41" s="3" t="s">
        <v>25</v>
      </c>
      <c r="B41" s="2">
        <v>3.3999999999999998E-3</v>
      </c>
      <c r="D41" s="6">
        <f>F40</f>
        <v>21.915421379774102</v>
      </c>
      <c r="E41" s="5">
        <f>((B35*D41)-(0.77*B34*$B$14)-(B37*$B$8*(D41^$B$10)*$B$14)-(($B$12*D41*$B$14)/(1+B38)))/(B35-((B37*$B$10*$B$8*$B$14)/(D41^(1-$B$10)))-(($B$12*$B$14)/(1+B38)))</f>
        <v>-9.4954793448721378E-16</v>
      </c>
      <c r="F41" s="5">
        <f t="shared" si="0"/>
        <v>21.915421379774102</v>
      </c>
      <c r="G41" s="6">
        <f>I40</f>
        <v>10.547744084138964</v>
      </c>
      <c r="H41" s="13">
        <f>((B35*G41)-(0.77*B34*B40)-(B37*B41*(G41^$B$10)*B40)-((B42*G41*B40)/(1+J36)))/(B35-((B37*$B$10*B41*B40)/(G41^(1-$B$10)))-((B42*B40)/(1+J36)))</f>
        <v>1.4954651423562043E-16</v>
      </c>
      <c r="I41" s="5">
        <f t="shared" si="1"/>
        <v>10.547744084138964</v>
      </c>
    </row>
    <row r="42" spans="1:14" x14ac:dyDescent="0.25">
      <c r="A42" s="3" t="s">
        <v>26</v>
      </c>
      <c r="B42" s="2">
        <v>1E-4</v>
      </c>
    </row>
    <row r="43" spans="1:14" x14ac:dyDescent="0.25">
      <c r="A43" s="11"/>
    </row>
    <row r="44" spans="1:14" x14ac:dyDescent="0.25">
      <c r="A44"/>
      <c r="B44"/>
      <c r="C44"/>
    </row>
    <row r="45" spans="1:14" x14ac:dyDescent="0.25">
      <c r="A45"/>
      <c r="B45"/>
      <c r="C45"/>
    </row>
    <row r="46" spans="1:14" x14ac:dyDescent="0.25">
      <c r="A46"/>
      <c r="B46"/>
      <c r="C46"/>
    </row>
    <row r="47" spans="1:14" x14ac:dyDescent="0.25">
      <c r="A47"/>
      <c r="B47"/>
      <c r="C47"/>
    </row>
    <row r="48" spans="1:14" x14ac:dyDescent="0.25">
      <c r="A48" s="43" t="s">
        <v>83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</row>
    <row r="49" spans="1:14" x14ac:dyDescent="0.25">
      <c r="A49" s="17" t="s">
        <v>50</v>
      </c>
      <c r="B49" s="18">
        <f>((B50^2*$B$16^2*$B$14)/3600)^(3/13)</f>
        <v>9.9832537177207178E-2</v>
      </c>
      <c r="D49" s="41" t="s">
        <v>54</v>
      </c>
      <c r="E49" s="41"/>
      <c r="F49" s="41"/>
      <c r="G49" s="41" t="s">
        <v>57</v>
      </c>
      <c r="H49" s="41"/>
      <c r="I49" s="41"/>
      <c r="J49" s="41" t="s">
        <v>20</v>
      </c>
      <c r="K49" s="41"/>
      <c r="L49" s="41"/>
      <c r="M49" s="1"/>
      <c r="N49" s="1"/>
    </row>
    <row r="50" spans="1:14" x14ac:dyDescent="0.25">
      <c r="A50" s="3" t="s">
        <v>51</v>
      </c>
      <c r="B50" s="12">
        <f>B51*60/1000</f>
        <v>0.72</v>
      </c>
      <c r="D50" s="2" t="s">
        <v>19</v>
      </c>
      <c r="E50" s="2" t="s">
        <v>18</v>
      </c>
      <c r="F50" s="2" t="s">
        <v>21</v>
      </c>
      <c r="G50" s="2" t="s">
        <v>23</v>
      </c>
      <c r="H50" s="2" t="s">
        <v>18</v>
      </c>
      <c r="I50" s="15" t="s">
        <v>27</v>
      </c>
      <c r="J50" s="2" t="s">
        <v>24</v>
      </c>
      <c r="K50" s="2" t="s">
        <v>22</v>
      </c>
      <c r="L50" s="2"/>
      <c r="M50" s="1"/>
      <c r="N50" s="1"/>
    </row>
    <row r="51" spans="1:14" x14ac:dyDescent="0.25">
      <c r="A51" s="3" t="s">
        <v>28</v>
      </c>
      <c r="B51" s="5">
        <v>12</v>
      </c>
      <c r="D51" s="5">
        <f>(5*(B49*B14)/B50)</f>
        <v>138.65630163500995</v>
      </c>
      <c r="E51" s="5">
        <f>((B50*D51)-(0.77*B49*$B$14)-(B52*$B$8*(D51^$B$10)*$B$14)-(($B$12*D51*$B$14)/(1+B53)))/(B50-((B52*$B$10*$B$8*$B$14)/(D51^(1-$B$10)))-(($B$12*$B$14)/(1+B53)))</f>
        <v>112.70216488519605</v>
      </c>
      <c r="F51" s="5">
        <f t="shared" ref="F51:F56" si="2">D51-E51</f>
        <v>25.954136749813898</v>
      </c>
      <c r="G51" s="5">
        <f>(5*(B49*B55))/B50</f>
        <v>69.328150817504977</v>
      </c>
      <c r="H51" s="13">
        <f>((B50*G51)-(0.77*B49*B55)-(B52*B56*(G51^$B$10)*B55)-((B57*G51*B55)/(1+J51)))/(B50-((B52*$B$10*B56*B55)/(G51^(1-$B$10)))-((B57*B55)/(1+J51)))</f>
        <v>57.034637272249768</v>
      </c>
      <c r="I51" s="5">
        <f t="shared" ref="I51:I56" si="3">G51-H51</f>
        <v>12.293513545255209</v>
      </c>
      <c r="J51" s="14">
        <f>B53</f>
        <v>0.65</v>
      </c>
      <c r="K51" s="2">
        <f>(LN(2)/((LN(D54))-LN(G54)))</f>
        <v>0.94005014335949355</v>
      </c>
      <c r="L51" s="2">
        <f>J51-K51</f>
        <v>-0.29005014335949353</v>
      </c>
      <c r="M51" s="1"/>
      <c r="N51" s="1"/>
    </row>
    <row r="52" spans="1:14" x14ac:dyDescent="0.25">
      <c r="A52" s="3" t="s">
        <v>53</v>
      </c>
      <c r="B52" s="12">
        <f>($B$10+B53*(1-$B$10)+1)/((1+$B$10)*(1+B53))</f>
        <v>0.75548589341692807</v>
      </c>
      <c r="D52" s="5">
        <f>F51</f>
        <v>25.954136749813898</v>
      </c>
      <c r="E52" s="5">
        <f>((B50*D52)-(0.77*B49*$B$14)-(B52*$B$8*(D52^$B$10)*$B$14)-(($B$12*D52*$B$14)/(1+B53)))/(B50-((B52*$B$10*$B$8*$B$14)/(D52^(1-$B$10)))-(($B$12*$B$14)/(1+B53)))</f>
        <v>1.1567064577227111</v>
      </c>
      <c r="F52" s="5">
        <f t="shared" si="2"/>
        <v>24.797430292091185</v>
      </c>
      <c r="G52" s="5">
        <f>I51</f>
        <v>12.293513545255209</v>
      </c>
      <c r="H52" s="13">
        <f>((B50*G52)-(0.77*B49*B55)-(B52*B56*(G52^$B$10)*B55)-((B57*G52*B55)/(1+J51)))/(B50-((B52*$B$10*B56*B55)/(G52^(1-$B$10)))-((B57*B55)/(1+J51)))</f>
        <v>0.43115601567626693</v>
      </c>
      <c r="I52" s="5">
        <f t="shared" si="3"/>
        <v>11.862357529578942</v>
      </c>
      <c r="J52" s="16">
        <f>K51</f>
        <v>0.94005014335949355</v>
      </c>
      <c r="K52" s="12">
        <f>(LN(2)/((LN(D56))-LN(G56)))</f>
        <v>0.9400501433796441</v>
      </c>
      <c r="L52" s="12">
        <f>J52-K52</f>
        <v>-2.0150547896946591E-11</v>
      </c>
      <c r="M52" s="1"/>
      <c r="N52" s="1"/>
    </row>
    <row r="53" spans="1:14" x14ac:dyDescent="0.25">
      <c r="A53" s="3" t="s">
        <v>52</v>
      </c>
      <c r="B53" s="2">
        <v>0.65</v>
      </c>
      <c r="D53" s="5">
        <f>F52</f>
        <v>24.797430292091185</v>
      </c>
      <c r="E53" s="5">
        <f>((B50*D53)-(0.77*B49*$B$14)-(B52*$B$8*(D53^$B$10)*$B$14)-(($B$12*D53*$B$14)/(1+B53)))/(B50-((B52*$B$10*$B$8*$B$14)/(D53^(1-$B$10)))-(($B$12*$B$14)/(1+B53)))</f>
        <v>8.3730324058015266E-4</v>
      </c>
      <c r="F53" s="5">
        <f t="shared" si="2"/>
        <v>24.796592988850605</v>
      </c>
      <c r="G53" s="5">
        <f>I52</f>
        <v>11.862357529578942</v>
      </c>
      <c r="H53" s="13">
        <f>((B50*G53)-(0.77*B49*B55)-(B52*B56*(G53^$B$10)*B55)-((B57*G53*B55)/(1+J51)))/(B50-((B52*$B$10*B56*B55)/(G53^(1-$B$10)))-((B57*B55)/(1+J51)))</f>
        <v>1.799958089311777E-4</v>
      </c>
      <c r="I53" s="5">
        <f t="shared" si="3"/>
        <v>11.86217753377001</v>
      </c>
      <c r="J53" s="1"/>
      <c r="K53" s="1"/>
      <c r="L53" s="1"/>
    </row>
    <row r="54" spans="1:14" x14ac:dyDescent="0.25">
      <c r="A54" s="3" t="s">
        <v>55</v>
      </c>
      <c r="B54" s="2">
        <f>($B$10+J52*(1-$B$10)+1)/((1+$B$10)*(1+J52))</f>
        <v>0.69924519666476337</v>
      </c>
      <c r="D54" s="5">
        <f>F53</f>
        <v>24.796592988850605</v>
      </c>
      <c r="E54" s="5">
        <f>((B50*D54)-(0.77*B49*$B$14)-(B52*$B$8*(D54^$B$10)*$B$14)-(($B$12*D54*$B$14)/(1+B53)))/(B50-((B52*$B$10*$B$8*$B$14)/(D54^(1-$B$10)))-(($B$12*$B$14)/(1+B53)))</f>
        <v>4.5996867318875421E-10</v>
      </c>
      <c r="F54" s="5">
        <f t="shared" si="2"/>
        <v>24.796592988390636</v>
      </c>
      <c r="G54" s="5">
        <f>I53</f>
        <v>11.86217753377001</v>
      </c>
      <c r="H54" s="13">
        <f>((B50*G54)-(0.77*B49*B55)-(B52*B56*(G54^$B$10)*B55)-((B57*G54*B55)/(1+J51)))/(B50-((B52*$B$10*B56*B55)/(G54^(1-$B$10)))-((B57*B55)/(1+J51)))</f>
        <v>3.2551399167530279E-11</v>
      </c>
      <c r="I54" s="5">
        <f t="shared" si="3"/>
        <v>11.862177533737459</v>
      </c>
      <c r="J54" s="1"/>
      <c r="K54" s="1"/>
      <c r="L54" s="1"/>
    </row>
    <row r="55" spans="1:14" x14ac:dyDescent="0.25">
      <c r="A55" s="3" t="s">
        <v>56</v>
      </c>
      <c r="B55" s="2">
        <v>100</v>
      </c>
      <c r="D55" s="5">
        <f>F54</f>
        <v>24.796592988390636</v>
      </c>
      <c r="E55" s="5">
        <f>((B50*D55)-(0.77*B49*$B$14)-(B52*$B$8*(D55^$B$10)*$B$14)-(($B$12*D55*$B$14)/(1+B53)))/(B50-((B52*$B$10*$B$8*$B$14)/(D55^(1-$B$10)))-(($B$12*$B$14)/(1+B53)))</f>
        <v>-4.6512676287258776E-15</v>
      </c>
      <c r="F55" s="5">
        <f t="shared" si="2"/>
        <v>24.796592988390639</v>
      </c>
      <c r="G55" s="5">
        <f>I54</f>
        <v>11.862177533737459</v>
      </c>
      <c r="H55" s="13">
        <f>((B50*G55)-(0.77*B49*B55)-(B52*B56*(G55^$B$10)*B55)-((B57*G55*B55)/(1+J51)))/(B50-((B52*$B$10*B56*B55)/(G55^(1-$B$10)))-((B57*B55)/(1+J51)))</f>
        <v>-1.0140395345503904E-16</v>
      </c>
      <c r="I55" s="5">
        <f t="shared" si="3"/>
        <v>11.862177533737459</v>
      </c>
    </row>
    <row r="56" spans="1:14" x14ac:dyDescent="0.25">
      <c r="A56" s="3" t="s">
        <v>25</v>
      </c>
      <c r="B56" s="2">
        <v>3.3999999999999998E-3</v>
      </c>
      <c r="D56" s="6">
        <f>F55</f>
        <v>24.796592988390639</v>
      </c>
      <c r="E56" s="5">
        <f>((B50*D56)-(0.77*B49*$B$14)-(B52*$B$8*(D56^$B$10)*$B$14)-(($B$12*D56*$B$14)/(1+B53)))/(B50-((B52*$B$10*$B$8*$B$14)/(D56^(1-$B$10)))-(($B$12*$B$14)/(1+B53)))</f>
        <v>5.814084535907347E-16</v>
      </c>
      <c r="F56" s="5">
        <f t="shared" si="2"/>
        <v>24.796592988390639</v>
      </c>
      <c r="G56" s="6">
        <f>I55</f>
        <v>11.862177533737459</v>
      </c>
      <c r="H56" s="13">
        <f>((B50*G56)-(0.77*B49*B55)-(B52*B56*(G56^$B$10)*B55)-((B57*G56*B55)/(1+J51)))/(B50-((B52*$B$10*B56*B55)/(G56^(1-$B$10)))-((B57*B55)/(1+J51)))</f>
        <v>-1.0140395345503904E-16</v>
      </c>
      <c r="I56" s="5">
        <f t="shared" si="3"/>
        <v>11.862177533737459</v>
      </c>
    </row>
    <row r="57" spans="1:14" x14ac:dyDescent="0.25">
      <c r="A57" s="3" t="s">
        <v>26</v>
      </c>
      <c r="B57" s="2">
        <v>1E-4</v>
      </c>
    </row>
    <row r="59" spans="1:14" x14ac:dyDescent="0.25">
      <c r="A59" s="43" t="s">
        <v>84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</row>
    <row r="60" spans="1:14" x14ac:dyDescent="0.25">
      <c r="A60" s="17" t="s">
        <v>50</v>
      </c>
      <c r="B60" s="18">
        <f>((B61^2*$B$16^2*$B$14)/3600)^(3/13)</f>
        <v>9.1775533562315048E-2</v>
      </c>
      <c r="D60" s="41" t="s">
        <v>54</v>
      </c>
      <c r="E60" s="41"/>
      <c r="F60" s="41"/>
      <c r="G60" s="41" t="s">
        <v>57</v>
      </c>
      <c r="H60" s="41"/>
      <c r="I60" s="41"/>
      <c r="J60" s="41" t="s">
        <v>20</v>
      </c>
      <c r="K60" s="41"/>
      <c r="L60" s="41"/>
      <c r="M60" s="1"/>
      <c r="N60" s="1"/>
    </row>
    <row r="61" spans="1:14" x14ac:dyDescent="0.25">
      <c r="A61" s="3" t="s">
        <v>51</v>
      </c>
      <c r="B61" s="12">
        <f>B62*60/1000</f>
        <v>0.6</v>
      </c>
      <c r="D61" s="2" t="s">
        <v>19</v>
      </c>
      <c r="E61" s="2" t="s">
        <v>18</v>
      </c>
      <c r="F61" s="2" t="s">
        <v>21</v>
      </c>
      <c r="G61" s="2" t="s">
        <v>23</v>
      </c>
      <c r="H61" s="2" t="s">
        <v>18</v>
      </c>
      <c r="I61" s="15" t="s">
        <v>27</v>
      </c>
      <c r="J61" s="2" t="s">
        <v>24</v>
      </c>
      <c r="K61" s="2" t="s">
        <v>22</v>
      </c>
      <c r="L61" s="2"/>
      <c r="M61" s="1"/>
      <c r="N61" s="1"/>
    </row>
    <row r="62" spans="1:14" x14ac:dyDescent="0.25">
      <c r="A62" s="3" t="s">
        <v>28</v>
      </c>
      <c r="B62" s="5">
        <v>10</v>
      </c>
      <c r="D62" s="5">
        <f>(5*(B60*B14)/B61)</f>
        <v>152.95922260385842</v>
      </c>
      <c r="E62" s="5">
        <f>((B61*D62)-(0.77*B60*$B$14)-(B63*$B$8*(D62^$B$10)*$B$14)-(($B$12*D62*$B$14)/(1+B64)))/(B61-((B63*$B$10*$B$8*$B$14)/(D62^(1-$B$10)))-(($B$12*$B$14)/(1+B64)))</f>
        <v>123.56870695650224</v>
      </c>
      <c r="F62" s="5">
        <f t="shared" ref="F62:F67" si="4">D62-E62</f>
        <v>29.390515647356182</v>
      </c>
      <c r="G62" s="5">
        <f>(5*(B60*B66))/B61</f>
        <v>76.479611301929211</v>
      </c>
      <c r="H62" s="13">
        <f>((B61*G62)-(0.77*B60*B66)-(B63*B67*(G62^$B$10)*B66)-((B68*G62*B66)/(1+J62)))/(B61-((B63*$B$10*B67*B66)/(G62^(1-$B$10)))-((B68*B66)/(1+J62)))</f>
        <v>62.659333954499658</v>
      </c>
      <c r="I62" s="5">
        <f t="shared" ref="I62:I67" si="5">G62-H62</f>
        <v>13.820277347429553</v>
      </c>
      <c r="J62" s="14">
        <f>B64</f>
        <v>0.65</v>
      </c>
      <c r="K62" s="2">
        <f>(LN(2)/((LN(D65))-LN(G65)))</f>
        <v>0.93160895194763971</v>
      </c>
      <c r="L62" s="2">
        <f>J62-K62</f>
        <v>-0.28160895194763969</v>
      </c>
      <c r="M62" s="1"/>
      <c r="N62" s="1"/>
    </row>
    <row r="63" spans="1:14" x14ac:dyDescent="0.25">
      <c r="A63" s="3" t="s">
        <v>53</v>
      </c>
      <c r="B63" s="12">
        <f>($B$10+B64*(1-$B$10)+1)/((1+$B$10)*(1+B64))</f>
        <v>0.75548589341692807</v>
      </c>
      <c r="D63" s="5">
        <f>F62</f>
        <v>29.390515647356182</v>
      </c>
      <c r="E63" s="5">
        <f>((B61*D63)-(0.77*B60*$B$14)-(B63*$B$8*(D63^$B$10)*$B$14)-(($B$12*D63*$B$14)/(1+B64)))/(B61-((B63*$B$10*$B$8*$B$14)/(D63^(1-$B$10)))-(($B$12*$B$14)/(1+B64)))</f>
        <v>1.4363513735651103</v>
      </c>
      <c r="F63" s="5">
        <f t="shared" si="4"/>
        <v>27.954164273791072</v>
      </c>
      <c r="G63" s="5">
        <f>I62</f>
        <v>13.820277347429553</v>
      </c>
      <c r="H63" s="13">
        <f>((B61*G63)-(0.77*B60*B66)-(B63*B67*(G63^$B$10)*B66)-((B68*G63*B66)/(1+J62)))/(B61-((B63*$B$10*B67*B66)/(G63^(1-$B$10)))-((B68*B66)/(1+J62)))</f>
        <v>0.53696204273495307</v>
      </c>
      <c r="I63" s="5">
        <f t="shared" si="5"/>
        <v>13.2833153046946</v>
      </c>
      <c r="J63" s="16">
        <f>K62</f>
        <v>0.93160895194763971</v>
      </c>
      <c r="K63" s="12">
        <f>(LN(2)/((LN(D67))-LN(G67)))</f>
        <v>0.93160895198964466</v>
      </c>
      <c r="L63" s="12">
        <f>J63-K63</f>
        <v>-4.200495506978541E-11</v>
      </c>
      <c r="M63" s="1"/>
      <c r="N63" s="1"/>
    </row>
    <row r="64" spans="1:14" x14ac:dyDescent="0.25">
      <c r="A64" s="3" t="s">
        <v>52</v>
      </c>
      <c r="B64" s="2">
        <v>0.65</v>
      </c>
      <c r="D64" s="5">
        <f>F63</f>
        <v>27.954164273791072</v>
      </c>
      <c r="E64" s="5">
        <f>((B61*D64)-(0.77*B60*$B$14)-(B63*$B$8*(D64^$B$10)*$B$14)-(($B$12*D64*$B$14)/(1+B64)))/(B61-((B63*$B$10*$B$8*$B$14)/(D64^(1-$B$10)))-(($B$12*$B$14)/(1+B64)))</f>
        <v>1.2948309339522576E-3</v>
      </c>
      <c r="F64" s="5">
        <f t="shared" si="4"/>
        <v>27.952869442857121</v>
      </c>
      <c r="G64" s="5">
        <f>I63</f>
        <v>13.2833153046946</v>
      </c>
      <c r="H64" s="13">
        <f>((B61*G64)-(0.77*B60*B66)-(B63*B67*(G64^$B$10)*B66)-((B68*G64*B66)/(1+J62)))/(B61-((B63*$B$10*B67*B66)/(G64^(1-$B$10)))-((B68*B66)/(1+J62)))</f>
        <v>2.8204249311162893E-4</v>
      </c>
      <c r="I64" s="5">
        <f t="shared" si="5"/>
        <v>13.283033262201489</v>
      </c>
      <c r="J64" s="1"/>
      <c r="K64" s="1"/>
      <c r="L64" s="1"/>
    </row>
    <row r="65" spans="1:14" x14ac:dyDescent="0.25">
      <c r="A65" s="3" t="s">
        <v>55</v>
      </c>
      <c r="B65" s="2">
        <f>($B$10+J63*(1-$B$10)+1)/((1+$B$10)*(1+J63))</f>
        <v>0.70064332195350665</v>
      </c>
      <c r="D65" s="5">
        <f>F64</f>
        <v>27.952869442857121</v>
      </c>
      <c r="E65" s="5">
        <f>((B61*D65)-(0.77*B60*$B$14)-(B63*$B$8*(D65^$B$10)*$B$14)-(($B$12*D65*$B$14)/(1+B64)))/(B61-((B63*$B$10*$B$8*$B$14)/(D65^(1-$B$10)))-(($B$12*$B$14)/(1+B64)))</f>
        <v>1.1083660834408338E-9</v>
      </c>
      <c r="F65" s="5">
        <f t="shared" si="4"/>
        <v>27.952869441748756</v>
      </c>
      <c r="G65" s="5">
        <f>I64</f>
        <v>13.283033262201489</v>
      </c>
      <c r="H65" s="13">
        <f>((B61*G65)-(0.77*B60*B66)-(B63*B67*(G65^$B$10)*B66)-((B68*G65*B66)/(1+J62)))/(B61-((B63*$B$10*B67*B66)/(G65^(1-$B$10)))-((B68*B66)/(1+J62)))</f>
        <v>8.1075123719152623E-11</v>
      </c>
      <c r="I65" s="5">
        <f t="shared" si="5"/>
        <v>13.283033262120414</v>
      </c>
      <c r="J65" s="1"/>
      <c r="K65" s="1"/>
      <c r="L65" s="1"/>
    </row>
    <row r="66" spans="1:14" x14ac:dyDescent="0.25">
      <c r="A66" s="3" t="s">
        <v>56</v>
      </c>
      <c r="B66" s="2">
        <v>100</v>
      </c>
      <c r="D66" s="5">
        <f>F65</f>
        <v>27.952869441748756</v>
      </c>
      <c r="E66" s="5">
        <f>((B61*D66)-(0.77*B60*$B$14)-(B63*$B$8*(D66^$B$10)*$B$14)-(($B$12*D66*$B$14)/(1+B64)))/(B61-((B63*$B$10*$B$8*$B$14)/(D66^(1-$B$10)))-(($B$12*$B$14)/(1+B64)))</f>
        <v>2.2169764373796532E-15</v>
      </c>
      <c r="F66" s="5">
        <f t="shared" si="4"/>
        <v>27.952869441748753</v>
      </c>
      <c r="G66" s="5">
        <f>I65</f>
        <v>13.283033262120414</v>
      </c>
      <c r="H66" s="13">
        <f>((B61*G66)-(0.77*B60*B66)-(B63*B67*(G66^$B$10)*B66)-((B68*G66*B66)/(1+J62)))/(B61-((B63*$B$10*B67*B66)/(G66^(1-$B$10)))-((B68*B66)/(1+J62)))</f>
        <v>3.9225541059047365E-16</v>
      </c>
      <c r="I66" s="5">
        <f t="shared" si="5"/>
        <v>13.283033262120414</v>
      </c>
    </row>
    <row r="67" spans="1:14" x14ac:dyDescent="0.25">
      <c r="A67" s="3" t="s">
        <v>25</v>
      </c>
      <c r="B67" s="2">
        <v>3.3999999999999998E-3</v>
      </c>
      <c r="D67" s="6">
        <f>F66</f>
        <v>27.952869441748753</v>
      </c>
      <c r="E67" s="5">
        <f>((B61*D67)-(0.77*B60*$B$14)-(B63*$B$8*(D67^$B$10)*$B$14)-(($B$12*D67*$B$14)/(1+B64)))/(B61-((B63*$B$10*$B$8*$B$14)/(D67^(1-$B$10)))-(($B$12*$B$14)/(1+B64)))</f>
        <v>2.2169764373796532E-15</v>
      </c>
      <c r="F67" s="5">
        <f t="shared" si="4"/>
        <v>27.952869441748749</v>
      </c>
      <c r="G67" s="6">
        <f>I66</f>
        <v>13.283033262120414</v>
      </c>
      <c r="H67" s="13">
        <f>((B61*G67)-(0.77*B60*B66)-(B63*B67*(G67^$B$10)*B66)-((B68*G67*B66)/(1+J62)))/(B61-((B63*$B$10*B67*B66)/(G67^(1-$B$10)))-((B68*B66)/(1+J62)))</f>
        <v>3.9225541059047365E-16</v>
      </c>
      <c r="I67" s="5">
        <f t="shared" si="5"/>
        <v>13.283033262120414</v>
      </c>
    </row>
    <row r="68" spans="1:14" x14ac:dyDescent="0.25">
      <c r="A68" s="3" t="s">
        <v>26</v>
      </c>
      <c r="B68" s="2">
        <v>1E-4</v>
      </c>
    </row>
    <row r="70" spans="1:14" x14ac:dyDescent="0.25">
      <c r="A70" s="43" t="s">
        <v>85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</row>
    <row r="71" spans="1:14" x14ac:dyDescent="0.25">
      <c r="A71" s="17" t="s">
        <v>50</v>
      </c>
      <c r="B71" s="18">
        <f>((B72^2*$B$16^2*$B$14)/3600)^(3/13)</f>
        <v>8.2794067626305243E-2</v>
      </c>
      <c r="D71" s="41" t="s">
        <v>54</v>
      </c>
      <c r="E71" s="41"/>
      <c r="F71" s="41"/>
      <c r="G71" s="41" t="s">
        <v>57</v>
      </c>
      <c r="H71" s="41"/>
      <c r="I71" s="41"/>
      <c r="J71" s="41" t="s">
        <v>20</v>
      </c>
      <c r="K71" s="41"/>
      <c r="L71" s="41"/>
      <c r="M71" s="1"/>
      <c r="N71" s="1"/>
    </row>
    <row r="72" spans="1:14" x14ac:dyDescent="0.25">
      <c r="A72" s="3" t="s">
        <v>51</v>
      </c>
      <c r="B72" s="12">
        <f>B73*60/1000</f>
        <v>0.48</v>
      </c>
      <c r="D72" s="2" t="s">
        <v>19</v>
      </c>
      <c r="E72" s="2" t="s">
        <v>18</v>
      </c>
      <c r="F72" s="2" t="s">
        <v>21</v>
      </c>
      <c r="G72" s="2" t="s">
        <v>23</v>
      </c>
      <c r="H72" s="2" t="s">
        <v>18</v>
      </c>
      <c r="I72" s="15" t="s">
        <v>27</v>
      </c>
      <c r="J72" s="2" t="s">
        <v>24</v>
      </c>
      <c r="K72" s="2" t="s">
        <v>22</v>
      </c>
      <c r="L72" s="2"/>
      <c r="M72" s="1"/>
      <c r="N72" s="1"/>
    </row>
    <row r="73" spans="1:14" x14ac:dyDescent="0.25">
      <c r="A73" s="3" t="s">
        <v>28</v>
      </c>
      <c r="B73" s="5">
        <v>8</v>
      </c>
      <c r="D73" s="5">
        <f>(5*(B71*B14)/B72)</f>
        <v>172.4876408881359</v>
      </c>
      <c r="E73" s="5">
        <f>((B72*D73)-(0.77*B71*$B$14)-(B74*$B$8*(D73^$B$10)*$B$14)-(($B$12*D73*$B$14)/(1+B75)))/(B72-((B74*$B$10*$B$8*$B$14)/(D73^(1-$B$10)))-(($B$12*$B$14)/(1+B75)))</f>
        <v>138.10591489883632</v>
      </c>
      <c r="F73" s="5">
        <f t="shared" ref="F73:F78" si="6">D73-E73</f>
        <v>34.381725989299582</v>
      </c>
      <c r="G73" s="5">
        <f>(5*(B71*B77))/B72</f>
        <v>86.24382044406795</v>
      </c>
      <c r="H73" s="13">
        <f>((B72*G73)-(0.77*B71*B77)-(B74*B78*(G73^$B$10)*B77)-((B79*G73*B77)/(1+J73)))/(B72-((B74*$B$10*B78*B77)/(G73^(1-$B$10)))-((B79*B77)/(1+J73)))</f>
        <v>70.240867470349457</v>
      </c>
      <c r="I73" s="5">
        <f t="shared" ref="I73:I78" si="7">G73-H73</f>
        <v>16.002952973718493</v>
      </c>
      <c r="J73" s="14">
        <f>B75</f>
        <v>0.65</v>
      </c>
      <c r="K73" s="2">
        <f>(LN(2)/((LN(D76))-LN(G76)))</f>
        <v>0.91969189437062848</v>
      </c>
      <c r="L73" s="2">
        <f>J73-K73</f>
        <v>-0.26969189437062846</v>
      </c>
      <c r="M73" s="1"/>
      <c r="N73" s="1"/>
    </row>
    <row r="74" spans="1:14" x14ac:dyDescent="0.25">
      <c r="A74" s="3" t="s">
        <v>53</v>
      </c>
      <c r="B74" s="12">
        <f>($B$10+B75*(1-$B$10)+1)/((1+$B$10)*(1+B75))</f>
        <v>0.75548589341692807</v>
      </c>
      <c r="D74" s="5">
        <f>F73</f>
        <v>34.381725989299582</v>
      </c>
      <c r="E74" s="5">
        <f>((B72*D74)-(0.77*B71*$B$14)-(B74*$B$8*(D74^$B$10)*$B$14)-(($B$12*D74*$B$14)/(1+B75)))/(B72-((B74*$B$10*$B$8*$B$14)/(D74^(1-$B$10)))-(($B$12*$B$14)/(1+B75)))</f>
        <v>1.8678694079429814</v>
      </c>
      <c r="F74" s="5">
        <f t="shared" si="6"/>
        <v>32.513856581356599</v>
      </c>
      <c r="G74" s="5">
        <f>I73</f>
        <v>16.002952973718493</v>
      </c>
      <c r="H74" s="13">
        <f>((B72*G74)-(0.77*B71*B77)-(B74*B78*(G74^$B$10)*B77)-((B79*G74*B77)/(1+J73)))/(B72-((B74*$B$10*B78*B77)/(G74^(1-$B$10)))-((B79*B77)/(1+J73)))</f>
        <v>0.70135031858393615</v>
      </c>
      <c r="I74" s="5">
        <f t="shared" si="7"/>
        <v>15.301602655134557</v>
      </c>
      <c r="J74" s="16">
        <f>K73</f>
        <v>0.91969189437062848</v>
      </c>
      <c r="K74" s="12">
        <f>(LN(2)/((LN(D78))-LN(G78)))</f>
        <v>0.91969189447040822</v>
      </c>
      <c r="L74" s="12">
        <f>J74-K74</f>
        <v>-9.9779740025951469E-11</v>
      </c>
      <c r="M74" s="1"/>
      <c r="N74" s="1"/>
    </row>
    <row r="75" spans="1:14" x14ac:dyDescent="0.25">
      <c r="A75" s="3" t="s">
        <v>52</v>
      </c>
      <c r="B75" s="2">
        <v>0.65</v>
      </c>
      <c r="D75" s="5">
        <f>F74</f>
        <v>32.513856581356599</v>
      </c>
      <c r="E75" s="5">
        <f>((B72*D75)-(0.77*B71*$B$14)-(B74*$B$8*(D75^$B$10)*$B$14)-(($B$12*D75*$B$14)/(1+B75)))/(B72-((B74*$B$10*$B$8*$B$14)/(D75^(1-$B$10)))-(($B$12*$B$14)/(1+B75)))</f>
        <v>2.1868132387666103E-3</v>
      </c>
      <c r="F75" s="5">
        <f t="shared" si="6"/>
        <v>32.511669768117834</v>
      </c>
      <c r="G75" s="5">
        <f>I74</f>
        <v>15.301602655134557</v>
      </c>
      <c r="H75" s="13">
        <f>((B72*G75)-(0.77*B71*B77)-(B74*B78*(G75^$B$10)*B77)-((B79*G75*B77)/(1+J73)))/(B72-((B74*$B$10*B78*B77)/(G75^(1-$B$10)))-((B79*B77)/(1+J73)))</f>
        <v>4.8549080589959596E-4</v>
      </c>
      <c r="I75" s="5">
        <f t="shared" si="7"/>
        <v>15.301117164328657</v>
      </c>
      <c r="J75" s="1"/>
      <c r="K75" s="1"/>
      <c r="L75" s="1"/>
    </row>
    <row r="76" spans="1:14" x14ac:dyDescent="0.25">
      <c r="A76" s="3" t="s">
        <v>55</v>
      </c>
      <c r="B76" s="2">
        <f>($B$10+J74*(1-$B$10)+1)/((1+$B$10)*(1+J74))</f>
        <v>0.70263809184394121</v>
      </c>
      <c r="D76" s="5">
        <f>F75</f>
        <v>32.511669768117834</v>
      </c>
      <c r="E76" s="5">
        <f>((B72*D76)-(0.77*B71*$B$14)-(B74*$B$8*(D76^$B$10)*$B$14)-(($B$12*D76*$B$14)/(1+B75)))/(B72-((B74*$B$10*$B$8*$B$14)/(D76^(1-$B$10)))-(($B$12*$B$14)/(1+B75)))</f>
        <v>3.1762235557996912E-9</v>
      </c>
      <c r="F76" s="5">
        <f t="shared" si="6"/>
        <v>32.511669764941608</v>
      </c>
      <c r="G76" s="5">
        <f>I75</f>
        <v>15.301117164328657</v>
      </c>
      <c r="H76" s="13">
        <f>((B72*G76)-(0.77*B71*B77)-(B74*B78*(G76^$B$10)*B77)-((B79*G76*B77)/(1+J73)))/(B72-((B74*$B$10*B78*B77)/(G76^(1-$B$10)))-((B79*B77)/(1+J73)))</f>
        <v>2.436934202990382E-10</v>
      </c>
      <c r="I76" s="5">
        <f t="shared" si="7"/>
        <v>15.301117164084964</v>
      </c>
      <c r="J76" s="1"/>
      <c r="K76" s="1"/>
      <c r="L76" s="1"/>
    </row>
    <row r="77" spans="1:14" x14ac:dyDescent="0.25">
      <c r="A77" s="3" t="s">
        <v>56</v>
      </c>
      <c r="B77" s="2">
        <v>100</v>
      </c>
      <c r="D77" s="5">
        <f>F76</f>
        <v>32.511669764941608</v>
      </c>
      <c r="E77" s="5">
        <f>((B72*D77)-(0.77*B71*$B$14)-(B74*$B$8*(D77^$B$10)*$B$14)-(($B$12*D77*$B$14)/(1+B75)))/(B72-((B74*$B$10*$B$8*$B$14)/(D77^(1-$B$10)))-(($B$12*$B$14)/(1+B75)))</f>
        <v>1.15165073639053E-15</v>
      </c>
      <c r="F77" s="5">
        <f t="shared" si="6"/>
        <v>32.511669764941608</v>
      </c>
      <c r="G77" s="5">
        <f>I76</f>
        <v>15.301117164084964</v>
      </c>
      <c r="H77" s="13">
        <f>((B72*G77)-(0.77*B71*B77)-(B74*B78*(G77^$B$10)*B77)-((B79*G77*B77)/(1+J73)))/(B72-((B74*$B$10*B78*B77)/(G77^(1-$B$10)))-((B79*B77)/(1+J73)))</f>
        <v>9.2899019546105715E-16</v>
      </c>
      <c r="I77" s="5">
        <f t="shared" si="7"/>
        <v>15.301117164084962</v>
      </c>
    </row>
    <row r="78" spans="1:14" x14ac:dyDescent="0.25">
      <c r="A78" s="3" t="s">
        <v>25</v>
      </c>
      <c r="B78" s="2">
        <v>3.3999999999999998E-3</v>
      </c>
      <c r="D78" s="6">
        <f>F77</f>
        <v>32.511669764941608</v>
      </c>
      <c r="E78" s="5">
        <f>((B72*D78)-(0.77*B71*$B$14)-(B74*$B$8*(D78^$B$10)*$B$14)-(($B$12*D78*$B$14)/(1+B75)))/(B72-((B74*$B$10*$B$8*$B$14)/(D78^(1-$B$10)))-(($B$12*$B$14)/(1+B75)))</f>
        <v>1.15165073639053E-15</v>
      </c>
      <c r="F78" s="5">
        <f t="shared" si="6"/>
        <v>32.511669764941608</v>
      </c>
      <c r="G78" s="6">
        <f>I77</f>
        <v>15.301117164084962</v>
      </c>
      <c r="H78" s="13">
        <f>((B72*G78)-(0.77*B71*B77)-(B74*B78*(G78^$B$10)*B77)-((B79*G78*B77)/(1+J73)))/(B72-((B74*$B$10*B78*B77)/(G78^(1-$B$10)))-((B79*B77)/(1+J73)))</f>
        <v>-5.2642777742793239E-16</v>
      </c>
      <c r="I78" s="5">
        <f t="shared" si="7"/>
        <v>15.301117164084962</v>
      </c>
    </row>
    <row r="79" spans="1:14" x14ac:dyDescent="0.25">
      <c r="A79" s="3" t="s">
        <v>26</v>
      </c>
      <c r="B79" s="2">
        <v>1E-4</v>
      </c>
    </row>
    <row r="80" spans="1:14" x14ac:dyDescent="0.25">
      <c r="A80" s="11"/>
    </row>
    <row r="81" spans="1:14" x14ac:dyDescent="0.25">
      <c r="A81" s="43" t="s">
        <v>86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</row>
    <row r="82" spans="1:14" x14ac:dyDescent="0.25">
      <c r="A82" s="17" t="s">
        <v>50</v>
      </c>
      <c r="B82" s="18">
        <f>((B83^2*$B$16^2*$B$14)/3600)^(3/13)</f>
        <v>7.2499529390029405E-2</v>
      </c>
      <c r="D82" s="41" t="s">
        <v>54</v>
      </c>
      <c r="E82" s="41"/>
      <c r="F82" s="41"/>
      <c r="G82" s="41" t="s">
        <v>57</v>
      </c>
      <c r="H82" s="41"/>
      <c r="I82" s="41"/>
      <c r="J82" s="41" t="s">
        <v>20</v>
      </c>
      <c r="K82" s="41"/>
      <c r="L82" s="41"/>
      <c r="M82" s="1"/>
      <c r="N82" s="1"/>
    </row>
    <row r="83" spans="1:14" x14ac:dyDescent="0.25">
      <c r="A83" s="3" t="s">
        <v>51</v>
      </c>
      <c r="B83" s="12">
        <f>B84*60/1000</f>
        <v>0.36</v>
      </c>
      <c r="D83" s="2" t="s">
        <v>19</v>
      </c>
      <c r="E83" s="2" t="s">
        <v>18</v>
      </c>
      <c r="F83" s="2" t="s">
        <v>21</v>
      </c>
      <c r="G83" s="2" t="s">
        <v>23</v>
      </c>
      <c r="H83" s="2" t="s">
        <v>18</v>
      </c>
      <c r="I83" s="15" t="s">
        <v>27</v>
      </c>
      <c r="J83" s="2" t="s">
        <v>24</v>
      </c>
      <c r="K83" s="2" t="s">
        <v>22</v>
      </c>
      <c r="L83" s="2"/>
      <c r="M83" s="1"/>
      <c r="N83" s="1"/>
    </row>
    <row r="84" spans="1:14" x14ac:dyDescent="0.25">
      <c r="A84" s="3" t="s">
        <v>28</v>
      </c>
      <c r="B84" s="5">
        <v>6</v>
      </c>
      <c r="D84" s="5">
        <f>(5*(B82*B14)/B83)</f>
        <v>201.38758163897057</v>
      </c>
      <c r="E84" s="5">
        <f>((B83*D84)-(0.77*B82*$B$14)-(B85*$B$8*(D84^$B$10)*$B$14)-(($B$12*D84*$B$14)/(1+B86)))/(B83-((B85*$B$10*$B$8*$B$14)/(D84^(1-$B$10)))-(($B$12*$B$14)/(1+B86)))</f>
        <v>158.92757467152259</v>
      </c>
      <c r="F84" s="5">
        <f t="shared" ref="F84:F89" si="8">D84-E84</f>
        <v>42.460006967447981</v>
      </c>
      <c r="G84" s="5">
        <f>(5*(B82*B88))/B83</f>
        <v>100.69379081948529</v>
      </c>
      <c r="H84" s="13">
        <f>((B83*G84)-(0.77*B82*B88)-(B85*B89*(G84^$B$10)*B88)-((B90*G84*B88)/(1+J84)))/(B83-((B85*$B$10*B89*B88)/(G84^(1-$B$10)))-((B90*B88)/(1+J84)))</f>
        <v>81.238171238054306</v>
      </c>
      <c r="I84" s="5">
        <f t="shared" ref="I84:I89" si="9">G84-H84</f>
        <v>19.45561958143098</v>
      </c>
      <c r="J84" s="14">
        <f>B86</f>
        <v>0.65</v>
      </c>
      <c r="K84" s="2">
        <f>(LN(2)/((LN(D87))-LN(G87)))</f>
        <v>0.9013363116776425</v>
      </c>
      <c r="L84" s="2">
        <f>J84-K84</f>
        <v>-0.25133631167764248</v>
      </c>
      <c r="M84" s="1"/>
      <c r="N84" s="1"/>
    </row>
    <row r="85" spans="1:14" x14ac:dyDescent="0.25">
      <c r="A85" s="3" t="s">
        <v>53</v>
      </c>
      <c r="B85" s="12">
        <f>($B$10+B86*(1-$B$10)+1)/((1+$B$10)*(1+B86))</f>
        <v>0.75548589341692807</v>
      </c>
      <c r="D85" s="5">
        <f>F84</f>
        <v>42.460006967447981</v>
      </c>
      <c r="E85" s="5">
        <f>((B83*D85)-(0.77*B82*$B$14)-(B85*$B$8*(D85^$B$10)*$B$14)-(($B$12*D85*$B$14)/(1+B86)))/(B83-((B85*$B$10*$B$8*$B$14)/(D85^(1-$B$10)))-(($B$12*$B$14)/(1+B86)))</f>
        <v>2.6081517093543689</v>
      </c>
      <c r="F85" s="5">
        <f t="shared" si="8"/>
        <v>39.851855258093615</v>
      </c>
      <c r="G85" s="5">
        <f>I84</f>
        <v>19.45561958143098</v>
      </c>
      <c r="H85" s="13">
        <f>((B83*G85)-(0.77*B82*B88)-(B85*B89*(G85^$B$10)*B88)-((B90*G85*B88)/(1+J84)))/(B83-((B85*$B$10*B89*B88)/(G85^(1-$B$10)))-((B90*B88)/(1+J84)))</f>
        <v>0.98661867515640456</v>
      </c>
      <c r="I85" s="5">
        <f t="shared" si="9"/>
        <v>18.469000906274577</v>
      </c>
      <c r="J85" s="16">
        <f>K84</f>
        <v>0.9013363116776425</v>
      </c>
      <c r="K85" s="12">
        <f>(LN(2)/((LN(D89))-LN(G89)))</f>
        <v>0.90133631196217334</v>
      </c>
      <c r="L85" s="12">
        <f>J85-K85</f>
        <v>-2.8453084333079914E-10</v>
      </c>
      <c r="M85" s="1"/>
      <c r="N85" s="1"/>
    </row>
    <row r="86" spans="1:14" x14ac:dyDescent="0.25">
      <c r="A86" s="3" t="s">
        <v>52</v>
      </c>
      <c r="B86" s="2">
        <v>0.65</v>
      </c>
      <c r="D86" s="5">
        <f>F85</f>
        <v>39.851855258093615</v>
      </c>
      <c r="E86" s="5">
        <f>((B83*D86)-(0.77*B82*$B$14)-(B85*$B$8*(D86^$B$10)*$B$14)-(($B$12*D86*$B$14)/(1+B86)))/(B83-((B85*$B$10*$B$8*$B$14)/(D86^(1-$B$10)))-(($B$12*$B$14)/(1+B86)))</f>
        <v>4.217521792410881E-3</v>
      </c>
      <c r="F86" s="5">
        <f t="shared" si="8"/>
        <v>39.847637736301202</v>
      </c>
      <c r="G86" s="5">
        <f>I85</f>
        <v>18.469000906274577</v>
      </c>
      <c r="H86" s="13">
        <f>((B83*G86)-(0.77*B82*B88)-(B85*B89*(G86^$B$10)*B88)-((B90*G86*B88)/(1+J84)))/(B83-((B85*$B$10*B89*B88)/(G86^(1-$B$10)))-((B90*B88)/(1+J84)))</f>
        <v>9.6540527606688703E-4</v>
      </c>
      <c r="I86" s="5">
        <f t="shared" si="9"/>
        <v>18.468035500998511</v>
      </c>
      <c r="J86" s="1"/>
      <c r="K86" s="1"/>
      <c r="L86" s="1"/>
    </row>
    <row r="87" spans="1:14" x14ac:dyDescent="0.25">
      <c r="A87" s="3" t="s">
        <v>55</v>
      </c>
      <c r="B87" s="2">
        <f>($B$10+J85*(1-$B$10)+1)/((1+$B$10)*(1+J85))</f>
        <v>0.70575951184777996</v>
      </c>
      <c r="D87" s="5">
        <f>F86</f>
        <v>39.847637736301202</v>
      </c>
      <c r="E87" s="5">
        <f>((B83*D87)-(0.77*B82*$B$14)-(B85*$B$8*(D87^$B$10)*$B$14)-(($B$12*D87*$B$14)/(1+B86)))/(B83-((B85*$B$10*$B$8*$B$14)/(D87^(1-$B$10)))-(($B$12*$B$14)/(1+B86)))</f>
        <v>1.1778518188572438E-8</v>
      </c>
      <c r="F87" s="5">
        <f t="shared" si="8"/>
        <v>39.847637724522684</v>
      </c>
      <c r="G87" s="5">
        <f>I86</f>
        <v>18.468035500998511</v>
      </c>
      <c r="H87" s="13">
        <f>((B83*G87)-(0.77*B82*B88)-(B85*B89*(G87^$B$10)*B88)-((B90*G87*B88)/(1+J84)))/(B83-((B85*$B$10*B89*B88)/(G87^(1-$B$10)))-((B90*B88)/(1+J84)))</f>
        <v>9.7559849694361867E-10</v>
      </c>
      <c r="I87" s="5">
        <f t="shared" si="9"/>
        <v>18.468035500022911</v>
      </c>
      <c r="J87" s="1"/>
      <c r="K87" s="1"/>
      <c r="L87" s="1"/>
    </row>
    <row r="88" spans="1:14" x14ac:dyDescent="0.25">
      <c r="A88" s="3" t="s">
        <v>56</v>
      </c>
      <c r="B88" s="2">
        <v>100</v>
      </c>
      <c r="D88" s="5">
        <f>F87</f>
        <v>39.847637724522684</v>
      </c>
      <c r="E88" s="5">
        <f>((B83*D88)-(0.77*B82*$B$14)-(B85*$B$8*(D88^$B$10)*$B$14)-(($B$12*D88*$B$14)/(1+B86)))/(B83-((B85*$B$10*$B$8*$B$14)/(D88^(1-$B$10)))-(($B$12*$B$14)/(1+B86)))</f>
        <v>8.7441433882263846E-16</v>
      </c>
      <c r="F88" s="5">
        <f t="shared" si="8"/>
        <v>39.847637724522684</v>
      </c>
      <c r="G88" s="5">
        <f>I87</f>
        <v>18.468035500022911</v>
      </c>
      <c r="H88" s="13">
        <f>((B83*G88)-(0.77*B82*B88)-(B85*B89*(G88^$B$10)*B88)-((B90*G88*B88)/(1+J84)))/(B83-((B85*$B$10*B89*B88)/(G88^(1-$B$10)))-((B90*B88)/(1+J84)))</f>
        <v>-4.6162581987367362E-16</v>
      </c>
      <c r="I88" s="5">
        <f t="shared" si="9"/>
        <v>18.468035500022911</v>
      </c>
    </row>
    <row r="89" spans="1:14" x14ac:dyDescent="0.25">
      <c r="A89" s="3" t="s">
        <v>25</v>
      </c>
      <c r="B89" s="2">
        <v>3.3999999999999998E-3</v>
      </c>
      <c r="D89" s="6">
        <f>F88</f>
        <v>39.847637724522684</v>
      </c>
      <c r="E89" s="5">
        <f>((B83*D89)-(0.77*B82*$B$14)-(B85*$B$8*(D89^$B$10)*$B$14)-(($B$12*D89*$B$14)/(1+B86)))/(B83-((B85*$B$10*$B$8*$B$14)/(D89^(1-$B$10)))-(($B$12*$B$14)/(1+B86)))</f>
        <v>8.7441433882263846E-16</v>
      </c>
      <c r="F89" s="5">
        <f t="shared" si="8"/>
        <v>39.847637724522684</v>
      </c>
      <c r="G89" s="6">
        <f>I88</f>
        <v>18.468035500022911</v>
      </c>
      <c r="H89" s="13">
        <f>((B83*G89)-(0.77*B82*B88)-(B85*B89*(G89^$B$10)*B88)-((B90*G89*B88)/(1+J84)))/(B83-((B85*$B$10*B89*B88)/(G89^(1-$B$10)))-((B90*B88)/(1+J84)))</f>
        <v>-4.6162581987367362E-16</v>
      </c>
      <c r="I89" s="5">
        <f t="shared" si="9"/>
        <v>18.468035500022911</v>
      </c>
    </row>
    <row r="90" spans="1:14" x14ac:dyDescent="0.25">
      <c r="A90" s="3" t="s">
        <v>26</v>
      </c>
      <c r="B90" s="2">
        <v>1E-4</v>
      </c>
    </row>
    <row r="91" spans="1:14" x14ac:dyDescent="0.25">
      <c r="A91" s="11"/>
    </row>
    <row r="92" spans="1:14" x14ac:dyDescent="0.25">
      <c r="A92" s="44" t="s">
        <v>87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6"/>
    </row>
    <row r="93" spans="1:14" x14ac:dyDescent="0.25">
      <c r="A93" s="17" t="s">
        <v>50</v>
      </c>
      <c r="B93" s="18">
        <f>((B94^2*$B$16^2*$B$14)/3600)^(3/13)</f>
        <v>6.6648441288996899E-2</v>
      </c>
      <c r="D93" s="41" t="s">
        <v>54</v>
      </c>
      <c r="E93" s="41"/>
      <c r="F93" s="41"/>
      <c r="G93" s="41" t="s">
        <v>57</v>
      </c>
      <c r="H93" s="41"/>
      <c r="I93" s="41"/>
      <c r="J93" s="41" t="s">
        <v>20</v>
      </c>
      <c r="K93" s="41"/>
      <c r="L93" s="41"/>
      <c r="M93" s="1"/>
      <c r="N93" s="1"/>
    </row>
    <row r="94" spans="1:14" x14ac:dyDescent="0.25">
      <c r="A94" s="3" t="s">
        <v>51</v>
      </c>
      <c r="B94" s="12">
        <f>B95*60/1000</f>
        <v>0.3</v>
      </c>
      <c r="D94" s="2" t="s">
        <v>19</v>
      </c>
      <c r="E94" s="2" t="s">
        <v>18</v>
      </c>
      <c r="F94" s="2" t="s">
        <v>21</v>
      </c>
      <c r="G94" s="2" t="s">
        <v>23</v>
      </c>
      <c r="H94" s="2" t="s">
        <v>18</v>
      </c>
      <c r="I94" s="15" t="s">
        <v>27</v>
      </c>
      <c r="J94" s="2" t="s">
        <v>24</v>
      </c>
      <c r="K94" s="2" t="s">
        <v>22</v>
      </c>
      <c r="L94" s="2"/>
      <c r="M94" s="1"/>
      <c r="N94" s="1"/>
    </row>
    <row r="95" spans="1:14" x14ac:dyDescent="0.25">
      <c r="A95" s="3" t="s">
        <v>28</v>
      </c>
      <c r="B95" s="5">
        <v>5</v>
      </c>
      <c r="D95" s="5">
        <f>(5*(B93*B14)/B94)</f>
        <v>222.16147096332298</v>
      </c>
      <c r="E95" s="5">
        <f>((B94*D95)-(0.77*B93*$B$14)-(B96*$B$8*(D95^$B$10)*$B$14)-(($B$12*D95*$B$14)/(1+B97)))/(B94-((B96*$B$10*$B$8*$B$14)/(D95^(1-$B$10)))-(($B$12*$B$14)/(1+B97)))</f>
        <v>173.33443104987956</v>
      </c>
      <c r="F95" s="5">
        <f t="shared" ref="F95:F100" si="10">D95-E95</f>
        <v>48.827039913443429</v>
      </c>
      <c r="G95" s="5">
        <f>(5*(B93*B99))/B94</f>
        <v>111.08073548166149</v>
      </c>
      <c r="H95" s="13">
        <f>((B94*G95)-(0.77*B93*B99)-(B96*B100*(G95^$B$10)*B99)-((B101*G95*B99)/(1+J95)))/(B94-((B96*$B$10*B100*B99)/(G95^(1-$B$10)))-((B101*B99)/(1+J95)))</f>
        <v>88.966982035392846</v>
      </c>
      <c r="I95" s="5">
        <f t="shared" ref="I95:I100" si="11">G95-H95</f>
        <v>22.113753446268646</v>
      </c>
      <c r="J95" s="14">
        <f>B97</f>
        <v>0.65</v>
      </c>
      <c r="K95" s="2">
        <f>(LN(2)/((LN(D98))-LN(G98)))</f>
        <v>0.88768867949102437</v>
      </c>
      <c r="L95" s="2">
        <f>J95-K95</f>
        <v>-0.23768867949102435</v>
      </c>
      <c r="M95" s="1"/>
      <c r="N95" s="1"/>
    </row>
    <row r="96" spans="1:14" x14ac:dyDescent="0.25">
      <c r="A96" s="3" t="s">
        <v>53</v>
      </c>
      <c r="B96" s="12">
        <f>($B$10+B97*(1-$B$10)+1)/((1+$B$10)*(1+B97))</f>
        <v>0.75548589341692807</v>
      </c>
      <c r="D96" s="5">
        <f>F95</f>
        <v>48.827039913443429</v>
      </c>
      <c r="E96" s="5">
        <f>((B94*D96)-(0.77*B93*$B$14)-(B96*$B$8*(D96^$B$10)*$B$14)-(($B$12*D96*$B$14)/(1+B97)))/(B94-((B96*$B$10*$B$8*$B$14)/(D96^(1-$B$10)))-(($B$12*$B$14)/(1+B97)))</f>
        <v>3.2109359346685578</v>
      </c>
      <c r="F96" s="5">
        <f t="shared" si="10"/>
        <v>45.616103978774873</v>
      </c>
      <c r="G96" s="5">
        <f>I95</f>
        <v>22.113753446268646</v>
      </c>
      <c r="H96" s="13">
        <f>((B94*G96)-(0.77*B93*B99)-(B96*B100*(G96^$B$10)*B99)-((B101*G96*B99)/(1+J95)))/(B94-((B96*$B$10*B100*B99)/(G96^(1-$B$10)))-((B101*B99)/(1+J95)))</f>
        <v>1.2221276347067715</v>
      </c>
      <c r="I96" s="5">
        <f t="shared" si="11"/>
        <v>20.891625811561873</v>
      </c>
      <c r="J96" s="16">
        <f>K95</f>
        <v>0.88768867949102437</v>
      </c>
      <c r="K96" s="12">
        <f>(LN(2)/((LN(D100))-LN(G100)))</f>
        <v>0.88768868001744461</v>
      </c>
      <c r="L96" s="12">
        <f>J96-K96</f>
        <v>-5.2642024073179527E-10</v>
      </c>
      <c r="M96" s="1"/>
      <c r="N96" s="1"/>
    </row>
    <row r="97" spans="1:14" x14ac:dyDescent="0.25">
      <c r="A97" s="3" t="s">
        <v>52</v>
      </c>
      <c r="B97" s="2">
        <v>0.65</v>
      </c>
      <c r="D97" s="5">
        <f>F96</f>
        <v>45.616103978774873</v>
      </c>
      <c r="E97" s="5">
        <f>((B94*D97)-(0.77*B93*$B$14)-(B96*$B$8*(D97^$B$10)*$B$14)-(($B$12*D97*$B$14)/(1+B97)))/(B94-((B96*$B$10*$B$8*$B$14)/(D97^(1-$B$10)))-(($B$12*$B$14)/(1+B97)))</f>
        <v>6.3088530208226506E-3</v>
      </c>
      <c r="F97" s="5">
        <f t="shared" si="10"/>
        <v>45.609795125754047</v>
      </c>
      <c r="G97" s="5">
        <f>I96</f>
        <v>20.891625811561873</v>
      </c>
      <c r="H97" s="13">
        <f>((B94*G97)-(0.77*B93*B99)-(B96*B100*(G97^$B$10)*B99)-((B101*G97*B99)/(1+J95)))/(B94-((B96*$B$10*B100*B99)/(G97^(1-$B$10)))-((B101*B99)/(1+J95)))</f>
        <v>1.4791511392714858E-3</v>
      </c>
      <c r="I97" s="5">
        <f t="shared" si="11"/>
        <v>20.890146660422602</v>
      </c>
      <c r="J97" s="1"/>
      <c r="K97" s="1"/>
      <c r="L97" s="1"/>
    </row>
    <row r="98" spans="1:14" x14ac:dyDescent="0.25">
      <c r="A98" s="3" t="s">
        <v>55</v>
      </c>
      <c r="B98" s="2">
        <f>($B$10+J96*(1-$B$10)+1)/((1+$B$10)*(1+J96))</f>
        <v>0.70811967759307681</v>
      </c>
      <c r="D98" s="5">
        <f>F97</f>
        <v>45.609795125754047</v>
      </c>
      <c r="E98" s="5">
        <f>((B94*D98)-(0.77*B93*$B$14)-(B96*$B$8*(D98^$B$10)*$B$14)-(($B$12*D98*$B$14)/(1+B97)))/(B94-((B96*$B$10*$B$8*$B$14)/(D98^(1-$B$10)))-(($B$12*$B$14)/(1+B97)))</f>
        <v>2.613815263111796E-8</v>
      </c>
      <c r="F98" s="5">
        <f t="shared" si="10"/>
        <v>45.609795099615894</v>
      </c>
      <c r="G98" s="5">
        <f>I97</f>
        <v>20.890146660422602</v>
      </c>
      <c r="H98" s="13">
        <f>((B94*G98)-(0.77*B93*B99)-(B96*B100*(G98^$B$10)*B99)-((B101*G98*B99)/(1+J95)))/(B94-((B96*$B$10*B100*B99)/(G98^(1-$B$10)))-((B101*B99)/(1+J95)))</f>
        <v>2.2983860318579273E-9</v>
      </c>
      <c r="I98" s="5">
        <f t="shared" si="11"/>
        <v>20.890146658124216</v>
      </c>
      <c r="J98" s="1"/>
      <c r="K98" s="1"/>
      <c r="L98" s="1"/>
    </row>
    <row r="99" spans="1:14" x14ac:dyDescent="0.25">
      <c r="A99" s="3" t="s">
        <v>56</v>
      </c>
      <c r="B99" s="2">
        <v>100</v>
      </c>
      <c r="D99" s="5">
        <f>F98</f>
        <v>45.609795099615894</v>
      </c>
      <c r="E99" s="5">
        <f>((B94*D99)-(0.77*B93*$B$14)-(B96*$B$8*(D99^$B$10)*$B$14)-(($B$12*D99*$B$14)/(1+B97)))/(B94-((B96*$B$10*$B$8*$B$14)/(D99^(1-$B$10)))-(($B$12*$B$14)/(1+B97)))</f>
        <v>-3.8490060962633818E-15</v>
      </c>
      <c r="F99" s="5">
        <f t="shared" si="10"/>
        <v>45.609795099615901</v>
      </c>
      <c r="G99" s="5">
        <f>I98</f>
        <v>20.890146658124216</v>
      </c>
      <c r="H99" s="13">
        <f>((B94*G99)-(0.77*B93*B99)-(B96*B100*(G99^$B$10)*B99)-((B101*G99*B99)/(1+J95)))/(B94-((B96*$B$10*B100*B99)/(G99^(1-$B$10)))-((B101*B99)/(1+J95)))</f>
        <v>4.0784802243018519E-16</v>
      </c>
      <c r="I99" s="5">
        <f t="shared" si="11"/>
        <v>20.890146658124216</v>
      </c>
    </row>
    <row r="100" spans="1:14" x14ac:dyDescent="0.25">
      <c r="A100" s="3" t="s">
        <v>25</v>
      </c>
      <c r="B100" s="2">
        <v>3.3999999999999998E-3</v>
      </c>
      <c r="D100" s="6">
        <f>F99</f>
        <v>45.609795099615901</v>
      </c>
      <c r="E100" s="5">
        <f>((B94*D100)-(0.77*B93*$B$14)-(B96*$B$8*(D100^$B$10)*$B$14)-(($B$12*D100*$B$14)/(1+B97)))/(B94-((B96*$B$10*$B$8*$B$14)/(D100^(1-$B$10)))-(($B$12*$B$14)/(1+B97)))</f>
        <v>9.8363489126730867E-15</v>
      </c>
      <c r="F100" s="5">
        <f t="shared" si="10"/>
        <v>45.609795099615894</v>
      </c>
      <c r="G100" s="6">
        <f>I99</f>
        <v>20.890146658124216</v>
      </c>
      <c r="H100" s="13">
        <f>((B94*G100)-(0.77*B93*B99)-(B96*B100*(G100^$B$10)*B99)-((B101*G100*B99)/(1+J95)))/(B94-((B96*$B$10*B100*B99)/(G100^(1-$B$10)))-((B101*B99)/(1+J95)))</f>
        <v>4.0784802243018519E-16</v>
      </c>
      <c r="I100" s="5">
        <f t="shared" si="11"/>
        <v>20.890146658124216</v>
      </c>
    </row>
    <row r="101" spans="1:14" x14ac:dyDescent="0.25">
      <c r="A101" s="3" t="s">
        <v>26</v>
      </c>
      <c r="B101" s="2">
        <v>1E-4</v>
      </c>
    </row>
    <row r="102" spans="1:14" x14ac:dyDescent="0.25">
      <c r="A102" s="11"/>
    </row>
    <row r="103" spans="1:14" x14ac:dyDescent="0.25">
      <c r="A103" s="43" t="s">
        <v>88</v>
      </c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</row>
    <row r="104" spans="1:14" x14ac:dyDescent="0.25">
      <c r="A104" s="17" t="s">
        <v>50</v>
      </c>
      <c r="B104" s="18">
        <f>((B105^2*$B$16^2*$B$14)/3600)^(3/13)</f>
        <v>6.0125998085560448E-2</v>
      </c>
      <c r="D104" s="41" t="s">
        <v>54</v>
      </c>
      <c r="E104" s="41"/>
      <c r="F104" s="41"/>
      <c r="G104" s="41" t="s">
        <v>57</v>
      </c>
      <c r="H104" s="41"/>
      <c r="I104" s="41"/>
      <c r="J104" s="41" t="s">
        <v>20</v>
      </c>
      <c r="K104" s="41"/>
      <c r="L104" s="41"/>
      <c r="M104" s="1"/>
      <c r="N104" s="1"/>
    </row>
    <row r="105" spans="1:14" x14ac:dyDescent="0.25">
      <c r="A105" s="3" t="s">
        <v>51</v>
      </c>
      <c r="B105" s="12">
        <f>B106*60/1000</f>
        <v>0.24</v>
      </c>
      <c r="D105" s="2" t="s">
        <v>19</v>
      </c>
      <c r="E105" s="2" t="s">
        <v>18</v>
      </c>
      <c r="F105" s="2" t="s">
        <v>21</v>
      </c>
      <c r="G105" s="2" t="s">
        <v>23</v>
      </c>
      <c r="H105" s="2" t="s">
        <v>18</v>
      </c>
      <c r="I105" s="15" t="s">
        <v>27</v>
      </c>
      <c r="J105" s="2" t="s">
        <v>24</v>
      </c>
      <c r="K105" s="2" t="s">
        <v>22</v>
      </c>
      <c r="L105" s="2"/>
      <c r="M105" s="1"/>
      <c r="N105" s="1"/>
    </row>
    <row r="106" spans="1:14" x14ac:dyDescent="0.25">
      <c r="A106" s="3" t="s">
        <v>28</v>
      </c>
      <c r="B106" s="5">
        <v>4</v>
      </c>
      <c r="D106" s="5">
        <f>(5*(B104*B14)/B105)</f>
        <v>250.52499202316858</v>
      </c>
      <c r="E106" s="5">
        <f>((B105*D106)-(0.77*B104*$B$14)-(B107*$B$8*(D106^$B$10)*$B$14)-(($B$12*D106*$B$14)/(1+B108)))/(B105-((B107*$B$10*$B$8*$B$14)/(D106^(1-$B$10)))-(($B$12*$B$14)/(1+B108)))</f>
        <v>192.16470101351973</v>
      </c>
      <c r="F106" s="5">
        <f t="shared" ref="F106:F111" si="12">D106-E106</f>
        <v>58.360291009648847</v>
      </c>
      <c r="G106" s="5">
        <f>(5*(B104*B110))/B105</f>
        <v>125.26249601158429</v>
      </c>
      <c r="H106" s="13">
        <f>((B105*G106)-(0.77*B104*B110)-(B107*B111*(G106^$B$10)*B110)-((B112*G106*B110)/(1+J106)))/(B105-((B107*$B$10*B111*B110)/(G106^(1-$B$10)))-((B112*B110)/(1+J106)))</f>
        <v>99.262114100519284</v>
      </c>
      <c r="I106" s="5">
        <f t="shared" ref="I106:I111" si="13">G106-H106</f>
        <v>26.000381911065006</v>
      </c>
      <c r="J106" s="14">
        <f>B108</f>
        <v>0.65</v>
      </c>
      <c r="K106" s="2">
        <f>(LN(2)/((LN(D109))-LN(G109)))</f>
        <v>0.86854319751742803</v>
      </c>
      <c r="L106" s="2">
        <f>J106-K106</f>
        <v>-0.21854319751742801</v>
      </c>
      <c r="M106" s="1"/>
      <c r="N106" s="1"/>
    </row>
    <row r="107" spans="1:14" x14ac:dyDescent="0.25">
      <c r="A107" s="3" t="s">
        <v>53</v>
      </c>
      <c r="B107" s="12">
        <f>($B$10+B108*(1-$B$10)+1)/((1+$B$10)*(1+B108))</f>
        <v>0.75548589341692807</v>
      </c>
      <c r="D107" s="5">
        <f>F106</f>
        <v>58.360291009648847</v>
      </c>
      <c r="E107" s="5">
        <f>((B105*D107)-(0.77*B104*$B$14)-(B107*$B$8*(D107^$B$10)*$B$14)-(($B$12*D107*$B$14)/(1+B108)))/(B105-((B107*$B$10*$B$8*$B$14)/(D107^(1-$B$10)))-(($B$12*$B$14)/(1+B108)))</f>
        <v>4.1202603018628468</v>
      </c>
      <c r="F107" s="5">
        <f t="shared" si="12"/>
        <v>54.240030707785998</v>
      </c>
      <c r="G107" s="5">
        <f>I106</f>
        <v>26.000381911065006</v>
      </c>
      <c r="H107" s="13">
        <f>((B105*G107)-(0.77*B104*B110)-(B107*B111*(G107^$B$10)*B110)-((B112*G107*B110)/(1+J106)))/(B105-((B107*$B$10*B111*B110)/(G107^(1-$B$10)))-((B112*B110)/(1+J106)))</f>
        <v>1.5834725203046334</v>
      </c>
      <c r="I107" s="5">
        <f t="shared" si="13"/>
        <v>24.416909390760374</v>
      </c>
      <c r="J107" s="16">
        <f>K106</f>
        <v>0.86854319751742803</v>
      </c>
      <c r="K107" s="12">
        <f>(LN(2)/((LN(D111))-LN(G111)))</f>
        <v>0.86854319856472895</v>
      </c>
      <c r="L107" s="12">
        <f>J107-K107</f>
        <v>-1.0473009126599209E-9</v>
      </c>
      <c r="M107" s="1"/>
      <c r="N107" s="1"/>
    </row>
    <row r="108" spans="1:14" x14ac:dyDescent="0.25">
      <c r="A108" s="3" t="s">
        <v>52</v>
      </c>
      <c r="B108" s="2">
        <v>0.65</v>
      </c>
      <c r="D108" s="5">
        <f>F107</f>
        <v>54.240030707785998</v>
      </c>
      <c r="E108" s="5">
        <f>((B105*D108)-(0.77*B104*$B$14)-(B107*$B$8*(D108^$B$10)*$B$14)-(($B$12*D108*$B$14)/(1+B108)))/(B105-((B107*$B$10*$B$8*$B$14)/(D108^(1-$B$10)))-(($B$12*$B$14)/(1+B108)))</f>
        <v>1.0144091254318787E-2</v>
      </c>
      <c r="F108" s="5">
        <f t="shared" si="12"/>
        <v>54.22988661653168</v>
      </c>
      <c r="G108" s="5">
        <f>I107</f>
        <v>24.416909390760374</v>
      </c>
      <c r="H108" s="13">
        <f>((B105*G108)-(0.77*B104*B110)-(B107*B111*(G108^$B$10)*B110)-((B112*G108*B110)/(1+J106)))/(B105-((B107*$B$10*B111*B110)/(G108^(1-$B$10)))-((B112*B110)/(1+J106)))</f>
        <v>2.4650698465587249E-3</v>
      </c>
      <c r="I108" s="5">
        <f t="shared" si="13"/>
        <v>24.414444320913816</v>
      </c>
      <c r="J108" s="1"/>
      <c r="K108" s="1"/>
      <c r="L108" s="1"/>
    </row>
    <row r="109" spans="1:14" x14ac:dyDescent="0.25">
      <c r="A109" s="3" t="s">
        <v>55</v>
      </c>
      <c r="B109" s="2">
        <f>($B$10+J107*(1-$B$10)+1)/((1+$B$10)*(1+J107))</f>
        <v>0.71148872635875471</v>
      </c>
      <c r="D109" s="5">
        <f>F108</f>
        <v>54.22988661653168</v>
      </c>
      <c r="E109" s="5">
        <f>((B105*D109)-(0.77*B104*$B$14)-(B107*$B$8*(D109^$B$10)*$B$14)-(($B$12*D109*$B$14)/(1+B108)))/(B105-((B107*$B$10*$B$8*$B$14)/(D109^(1-$B$10)))-(($B$12*$B$14)/(1+B108)))</f>
        <v>6.6349950928594093E-8</v>
      </c>
      <c r="F109" s="5">
        <f t="shared" si="12"/>
        <v>54.229886550181732</v>
      </c>
      <c r="G109" s="5">
        <f>I108</f>
        <v>24.414444320913816</v>
      </c>
      <c r="H109" s="13">
        <f>((B105*G109)-(0.77*B104*B110)-(B107*B111*(G109^$B$10)*B110)-((B112*G109*B110)/(1+J106)))/(B105-((B107*$B$10*B111*B110)/(G109^(1-$B$10)))-((B112*B110)/(1+J106)))</f>
        <v>6.376719085686822E-9</v>
      </c>
      <c r="I109" s="5">
        <f t="shared" si="13"/>
        <v>24.414444314537096</v>
      </c>
      <c r="J109" s="1"/>
      <c r="K109" s="1"/>
      <c r="L109" s="1"/>
    </row>
    <row r="110" spans="1:14" x14ac:dyDescent="0.25">
      <c r="A110" s="3" t="s">
        <v>56</v>
      </c>
      <c r="B110" s="2">
        <v>100</v>
      </c>
      <c r="D110" s="5">
        <f>F109</f>
        <v>54.229886550181732</v>
      </c>
      <c r="E110" s="5">
        <f>((B105*D110)-(0.77*B104*$B$14)-(B107*$B$8*(D110^$B$10)*$B$14)-(($B$12*D110*$B$14)/(1+B108)))/(B105-((B107*$B$10*$B$8*$B$14)/(D110^(1-$B$10)))-(($B$12*$B$14)/(1+B108)))</f>
        <v>2.196635250045138E-15</v>
      </c>
      <c r="F110" s="5">
        <f t="shared" si="12"/>
        <v>54.229886550181732</v>
      </c>
      <c r="G110" s="5">
        <f>I109</f>
        <v>24.414444314537096</v>
      </c>
      <c r="H110" s="13">
        <f>((B105*G110)-(0.77*B104*B110)-(B107*B111*(G110^$B$10)*B110)-((B112*G110*B110)/(1+J106)))/(B105-((B107*$B$10*B111*B110)/(G110^(1-$B$10)))-((B112*B110)/(1+J106)))</f>
        <v>-3.8909686047008778E-15</v>
      </c>
      <c r="I110" s="5">
        <f t="shared" si="13"/>
        <v>24.4144443145371</v>
      </c>
    </row>
    <row r="111" spans="1:14" x14ac:dyDescent="0.25">
      <c r="A111" s="3" t="s">
        <v>25</v>
      </c>
      <c r="B111" s="2">
        <v>3.3999999999999998E-3</v>
      </c>
      <c r="D111" s="6">
        <f>F110</f>
        <v>54.229886550181732</v>
      </c>
      <c r="E111" s="5">
        <f>((B105*D111)-(0.77*B104*$B$14)-(B107*$B$8*(D111^$B$10)*$B$14)-(($B$12*D111*$B$14)/(1+B108)))/(B105-((B107*$B$10*$B$8*$B$14)/(D111^(1-$B$10)))-(($B$12*$B$14)/(1+B108)))</f>
        <v>2.196635250045138E-15</v>
      </c>
      <c r="F111" s="5">
        <f t="shared" si="12"/>
        <v>54.229886550181732</v>
      </c>
      <c r="G111" s="6">
        <f>I110</f>
        <v>24.4144443145371</v>
      </c>
      <c r="H111" s="13">
        <f>((B105*G111)-(0.77*B104*B110)-(B107*B111*(G111^$B$10)*B110)-((B112*G111*B110)/(1+J106)))/(B105-((B107*$B$10*B111*B110)/(G111^(1-$B$10)))-((B112*B110)/(1+J106)))</f>
        <v>1.2969895349002925E-16</v>
      </c>
      <c r="I111" s="5">
        <f t="shared" si="13"/>
        <v>24.4144443145371</v>
      </c>
    </row>
    <row r="112" spans="1:14" x14ac:dyDescent="0.25">
      <c r="A112" s="3" t="s">
        <v>26</v>
      </c>
      <c r="B112" s="2">
        <v>1E-4</v>
      </c>
    </row>
    <row r="113" spans="1:14" x14ac:dyDescent="0.25">
      <c r="A113" s="11"/>
    </row>
    <row r="114" spans="1:14" x14ac:dyDescent="0.25">
      <c r="A114" s="43" t="s">
        <v>60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</row>
    <row r="115" spans="1:14" x14ac:dyDescent="0.25">
      <c r="A115" s="17" t="s">
        <v>50</v>
      </c>
      <c r="B115" s="18">
        <f>((B116^2*$B$16^2*$B$14)/3600)^(3/13)</f>
        <v>5.2649986771805483E-2</v>
      </c>
      <c r="D115" s="41" t="s">
        <v>54</v>
      </c>
      <c r="E115" s="41"/>
      <c r="F115" s="41"/>
      <c r="G115" s="41" t="s">
        <v>57</v>
      </c>
      <c r="H115" s="41"/>
      <c r="I115" s="41"/>
      <c r="J115" s="41" t="s">
        <v>20</v>
      </c>
      <c r="K115" s="41"/>
      <c r="L115" s="41"/>
      <c r="M115" s="1"/>
      <c r="N115" s="1"/>
    </row>
    <row r="116" spans="1:14" x14ac:dyDescent="0.25">
      <c r="A116" s="3" t="s">
        <v>51</v>
      </c>
      <c r="B116" s="12">
        <f>B117*60/1000</f>
        <v>0.18</v>
      </c>
      <c r="D116" s="2" t="s">
        <v>19</v>
      </c>
      <c r="E116" s="2" t="s">
        <v>18</v>
      </c>
      <c r="F116" s="2" t="s">
        <v>21</v>
      </c>
      <c r="G116" s="2" t="s">
        <v>23</v>
      </c>
      <c r="H116" s="2" t="s">
        <v>18</v>
      </c>
      <c r="I116" s="15" t="s">
        <v>27</v>
      </c>
      <c r="J116" s="2" t="s">
        <v>24</v>
      </c>
      <c r="K116" s="2" t="s">
        <v>22</v>
      </c>
      <c r="L116" s="2"/>
      <c r="M116" s="1"/>
      <c r="N116" s="1"/>
    </row>
    <row r="117" spans="1:14" x14ac:dyDescent="0.25">
      <c r="A117" s="3" t="s">
        <v>28</v>
      </c>
      <c r="B117" s="5">
        <v>3</v>
      </c>
      <c r="D117" s="5">
        <f>(5*(B115*B14)/B116)</f>
        <v>292.49992651003049</v>
      </c>
      <c r="E117" s="5">
        <f>((B116*D117)-(0.77*B115*$B$14)-(B118*$B$8*(D117^$B$10)*$B$14)-(($B$12*D117*$B$14)/(1+B119)))/(B116-((B118*$B$10*$B$8*$B$14)/(D117^(1-$B$10)))-(($B$12*$B$14)/(1+B119)))</f>
        <v>218.01784168655794</v>
      </c>
      <c r="F117" s="5">
        <f t="shared" ref="F117:F122" si="14">D117-E117</f>
        <v>74.482084823472547</v>
      </c>
      <c r="G117" s="5">
        <f>(5*(B115*B121))/B116</f>
        <v>146.24996325501525</v>
      </c>
      <c r="H117" s="13">
        <f>((B116*G117)-(0.77*B115*B121)-(B118*B122*(G117^$B$10)*B121)-((B123*G117*B121)/(1+J117)))/(B116-((B118*$B$10*B122*B121)/(G117^(1-$B$10)))-((B123*B121)/(1+J117)))</f>
        <v>113.90203405528577</v>
      </c>
      <c r="I117" s="5">
        <f t="shared" ref="I117:I122" si="15">G117-H117</f>
        <v>32.347929199729478</v>
      </c>
      <c r="J117" s="14">
        <f>B119</f>
        <v>0.65</v>
      </c>
      <c r="K117" s="2">
        <f>(LN(2)/((LN(D120))-LN(G120)))</f>
        <v>0.83933378241806178</v>
      </c>
      <c r="L117" s="2">
        <f>J117-K117</f>
        <v>-0.18933378241806176</v>
      </c>
      <c r="M117" s="1"/>
      <c r="N117" s="1"/>
    </row>
    <row r="118" spans="1:14" x14ac:dyDescent="0.25">
      <c r="A118" s="3" t="s">
        <v>53</v>
      </c>
      <c r="B118" s="12">
        <f>($B$10+B119*(1-$B$10)+1)/((1+$B$10)*(1+B119))</f>
        <v>0.75548589341692807</v>
      </c>
      <c r="D118" s="5">
        <f>F117</f>
        <v>74.482084823472547</v>
      </c>
      <c r="E118" s="5">
        <f>((B116*D118)-(0.77*B115*$B$14)-(B118*$B$8*(D118^$B$10)*$B$14)-(($B$12*D118*$B$14)/(1+B119)))/(B116-((B118*$B$10*$B$8*$B$14)/(D118^(1-$B$10)))-(($B$12*$B$14)/(1+B119)))</f>
        <v>5.617993643368437</v>
      </c>
      <c r="F118" s="5">
        <f t="shared" si="14"/>
        <v>68.864091180104111</v>
      </c>
      <c r="G118" s="5">
        <f>I117</f>
        <v>32.347929199729478</v>
      </c>
      <c r="H118" s="13">
        <f>((B116*G118)-(0.77*B115*B121)-(B118*B122*(G118^$B$10)*B121)-((B123*G118*B121)/(1+J117)))/(B116-((B118*$B$10*B122*B121)/(G118^(1-$B$10)))-((B123*B121)/(1+J117)))</f>
        <v>2.1975556311263875</v>
      </c>
      <c r="I118" s="5">
        <f t="shared" si="15"/>
        <v>30.15037356860309</v>
      </c>
      <c r="J118" s="16">
        <f>K117</f>
        <v>0.83933378241806178</v>
      </c>
      <c r="K118" s="12">
        <f>(LN(2)/((LN(D122))-LN(G122)))</f>
        <v>0.83933378463172237</v>
      </c>
      <c r="L118" s="12">
        <f>J118-K118</f>
        <v>-2.213660588168409E-9</v>
      </c>
      <c r="M118" s="1"/>
      <c r="N118" s="1"/>
    </row>
    <row r="119" spans="1:14" x14ac:dyDescent="0.25">
      <c r="A119" s="3" t="s">
        <v>52</v>
      </c>
      <c r="B119" s="2">
        <v>0.65</v>
      </c>
      <c r="D119" s="5">
        <f>F118</f>
        <v>68.864091180104111</v>
      </c>
      <c r="E119" s="5">
        <f>((B116*D119)-(0.77*B115*$B$14)-(B118*$B$8*(D119^$B$10)*$B$14)-(($B$12*D119*$B$14)/(1+B119)))/(B116-((B118*$B$10*$B$8*$B$14)/(D119^(1-$B$10)))-(($B$12*$B$14)/(1+B119)))</f>
        <v>1.8022982354820541E-2</v>
      </c>
      <c r="F119" s="5">
        <f t="shared" si="14"/>
        <v>68.84606819774929</v>
      </c>
      <c r="G119" s="5">
        <f>I118</f>
        <v>30.15037356860309</v>
      </c>
      <c r="H119" s="13">
        <f>((B116*G119)-(0.77*B115*B121)-(B118*B122*(G119^$B$10)*B121)-((B123*G119*B121)/(1+J117)))/(B116-((B118*$B$10*B122*B121)/(G119^(1-$B$10)))-((B123*B121)/(1+J117)))</f>
        <v>4.6545841758832956E-3</v>
      </c>
      <c r="I119" s="5">
        <f t="shared" si="15"/>
        <v>30.145718984427205</v>
      </c>
      <c r="J119" s="1"/>
      <c r="K119" s="1"/>
      <c r="L119" s="1"/>
    </row>
    <row r="120" spans="1:14" x14ac:dyDescent="0.25">
      <c r="A120" s="3" t="s">
        <v>55</v>
      </c>
      <c r="B120" s="2">
        <f>($B$10+J118*(1-$B$10)+1)/((1+$B$10)*(1+J118))</f>
        <v>0.71676386256618307</v>
      </c>
      <c r="D120" s="5">
        <f>F119</f>
        <v>68.84606819774929</v>
      </c>
      <c r="E120" s="5">
        <f>((B116*D120)-(0.77*B115*$B$14)-(B118*$B$8*(D120^$B$10)*$B$14)-(($B$12*D120*$B$14)/(1+B119)))/(B116-((B118*$B$10*$B$8*$B$14)/(D120^(1-$B$10)))-(($B$12*$B$14)/(1+B119)))</f>
        <v>2.0125516217709467E-7</v>
      </c>
      <c r="F120" s="5">
        <f t="shared" si="14"/>
        <v>68.846067996494128</v>
      </c>
      <c r="G120" s="5">
        <f>I119</f>
        <v>30.145718984427205</v>
      </c>
      <c r="H120" s="13">
        <f>((B116*G120)-(0.77*B115*B121)-(B118*B122*(G120^$B$10)*B121)-((B123*G120*B121)/(1+J117)))/(B116-((B118*$B$10*B122*B121)/(G120^(1-$B$10)))-((B123*B121)/(1+J117)))</f>
        <v>2.2465086724095549E-8</v>
      </c>
      <c r="I120" s="5">
        <f t="shared" si="15"/>
        <v>30.145718961962118</v>
      </c>
      <c r="J120" s="1"/>
      <c r="K120" s="1"/>
      <c r="L120" s="1"/>
    </row>
    <row r="121" spans="1:14" x14ac:dyDescent="0.25">
      <c r="A121" s="3" t="s">
        <v>56</v>
      </c>
      <c r="B121" s="2">
        <v>100</v>
      </c>
      <c r="D121" s="5">
        <f>F120</f>
        <v>68.846067996494128</v>
      </c>
      <c r="E121" s="5">
        <f>((B116*D121)-(0.77*B115*$B$14)-(B118*$B$8*(D121^$B$10)*$B$14)-(($B$12*D121*$B$14)/(1+B119)))/(B116-((B118*$B$10*$B$8*$B$14)/(D121^(1-$B$10)))-(($B$12*$B$14)/(1+B119)))</f>
        <v>-1.4514670112069008E-14</v>
      </c>
      <c r="F121" s="5">
        <f t="shared" si="14"/>
        <v>68.846067996494142</v>
      </c>
      <c r="G121" s="5">
        <f>I120</f>
        <v>30.145718961962118</v>
      </c>
      <c r="H121" s="13">
        <f>((B116*G121)-(0.77*B115*B121)-(B118*B122*(G121^$B$10)*B121)-((B123*G121*B121)/(1+J117)))/(B116-((B118*$B$10*B122*B121)/(G121^(1-$B$10)))-((B123*B121)/(1+J117)))</f>
        <v>-1.7771137103981223E-16</v>
      </c>
      <c r="I121" s="5">
        <f t="shared" si="15"/>
        <v>30.145718961962118</v>
      </c>
    </row>
    <row r="122" spans="1:14" x14ac:dyDescent="0.25">
      <c r="A122" s="3" t="s">
        <v>25</v>
      </c>
      <c r="B122" s="2">
        <v>3.3999999999999998E-3</v>
      </c>
      <c r="D122" s="6">
        <f>F121</f>
        <v>68.846067996494142</v>
      </c>
      <c r="E122" s="5">
        <f>((B116*D122)-(0.77*B115*$B$14)-(B118*$B$8*(D122^$B$10)*$B$14)-(($B$12*D122*$B$14)/(1+B119)))/(B116-((B118*$B$10*$B$8*$B$14)/(D122^(1-$B$10)))-(($B$12*$B$14)/(1+B119)))</f>
        <v>9.1671600707804268E-15</v>
      </c>
      <c r="F122" s="5">
        <f t="shared" si="14"/>
        <v>68.846067996494128</v>
      </c>
      <c r="G122" s="6">
        <f>I121</f>
        <v>30.145718961962118</v>
      </c>
      <c r="H122" s="13">
        <f>((B116*G122)-(0.77*B115*B121)-(B118*B122*(G122^$B$10)*B121)-((B123*G122*B121)/(1+J117)))/(B116-((B118*$B$10*B122*B121)/(G122^(1-$B$10)))-((B123*B121)/(1+J117)))</f>
        <v>-1.7771137103981223E-16</v>
      </c>
      <c r="I122" s="5">
        <f t="shared" si="15"/>
        <v>30.145718961962118</v>
      </c>
    </row>
    <row r="123" spans="1:14" x14ac:dyDescent="0.25">
      <c r="A123" s="3" t="s">
        <v>26</v>
      </c>
      <c r="B123" s="2">
        <v>1E-4</v>
      </c>
    </row>
    <row r="124" spans="1:14" x14ac:dyDescent="0.25">
      <c r="A124" s="11"/>
    </row>
    <row r="125" spans="1:14" x14ac:dyDescent="0.25">
      <c r="A125" s="43" t="s">
        <v>89</v>
      </c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</row>
    <row r="126" spans="1:14" x14ac:dyDescent="0.25">
      <c r="A126" s="17" t="s">
        <v>50</v>
      </c>
      <c r="B126" s="18">
        <f>((B127^2*$B$16^2*$B$14)/3600)^(3/13)</f>
        <v>4.3664186933077061E-2</v>
      </c>
      <c r="D126" s="41" t="s">
        <v>54</v>
      </c>
      <c r="E126" s="41"/>
      <c r="F126" s="41"/>
      <c r="G126" s="41" t="s">
        <v>57</v>
      </c>
      <c r="H126" s="41"/>
      <c r="I126" s="41"/>
      <c r="J126" s="41" t="s">
        <v>20</v>
      </c>
      <c r="K126" s="41"/>
      <c r="L126" s="41"/>
      <c r="M126" s="1"/>
      <c r="N126" s="1"/>
    </row>
    <row r="127" spans="1:14" x14ac:dyDescent="0.25">
      <c r="A127" s="3" t="s">
        <v>51</v>
      </c>
      <c r="B127" s="12">
        <f>B128*60/1000</f>
        <v>0.12</v>
      </c>
      <c r="D127" s="2" t="s">
        <v>19</v>
      </c>
      <c r="E127" s="2" t="s">
        <v>18</v>
      </c>
      <c r="F127" s="2" t="s">
        <v>21</v>
      </c>
      <c r="G127" s="2" t="s">
        <v>23</v>
      </c>
      <c r="H127" s="2" t="s">
        <v>18</v>
      </c>
      <c r="I127" s="15" t="s">
        <v>27</v>
      </c>
      <c r="J127" s="2" t="s">
        <v>24</v>
      </c>
      <c r="K127" s="2" t="s">
        <v>22</v>
      </c>
      <c r="L127" s="2"/>
      <c r="M127" s="1"/>
      <c r="N127" s="1"/>
    </row>
    <row r="128" spans="1:14" x14ac:dyDescent="0.25">
      <c r="A128" s="3" t="s">
        <v>28</v>
      </c>
      <c r="B128" s="5">
        <v>2</v>
      </c>
      <c r="D128" s="5">
        <f>(5*(B126*B14)/B127)</f>
        <v>363.86822444230887</v>
      </c>
      <c r="E128" s="5">
        <f>((B127*D128)-(0.77*B126*$B$14)-(B129*$B$8*(D128^$B$10)*$B$14)-(($B$12*D128*$B$14)/(1+B130)))/(B127-((B129*$B$10*$B$8*$B$14)/(D128^(1-$B$10)))-(($B$12*$B$14)/(1+B130)))</f>
        <v>255.24579641203141</v>
      </c>
      <c r="F128" s="5">
        <f t="shared" ref="F128:F133" si="16">D128-E128</f>
        <v>108.62242803027746</v>
      </c>
      <c r="G128" s="5">
        <f>(5*(B126*B132))/B127</f>
        <v>181.93411222115444</v>
      </c>
      <c r="H128" s="13">
        <f>((B127*G128)-(0.77*B126*B132)-(B129*B133*(G128^$B$10)*B132)-((B134*G128*B132)/(1+J128)))/(B127-((B129*$B$10*B133*B132)/(G128^(1-$B$10)))-((B134*B132)/(1+J128)))</f>
        <v>136.92308816878801</v>
      </c>
      <c r="I128" s="5">
        <f t="shared" ref="I128:I133" si="17">G128-H128</f>
        <v>45.011024052366423</v>
      </c>
      <c r="J128" s="14">
        <f>B130</f>
        <v>0.65</v>
      </c>
      <c r="K128" s="2">
        <f>(LN(2)/((LN(D131))-LN(G131)))</f>
        <v>0.78798246431818952</v>
      </c>
      <c r="L128" s="2">
        <f>J128-K128</f>
        <v>-0.1379824643181895</v>
      </c>
      <c r="M128" s="1"/>
      <c r="N128" s="1"/>
    </row>
    <row r="129" spans="1:14" x14ac:dyDescent="0.25">
      <c r="A129" s="3" t="s">
        <v>53</v>
      </c>
      <c r="B129" s="12">
        <f>($B$10+B130*(1-$B$10)+1)/((1+$B$10)*(1+B130))</f>
        <v>0.75548589341692807</v>
      </c>
      <c r="D129" s="5">
        <f>F128</f>
        <v>108.62242803027746</v>
      </c>
      <c r="E129" s="5">
        <f>((B127*D129)-(0.77*B126*$B$14)-(B129*$B$8*(D129^$B$10)*$B$14)-(($B$12*D129*$B$14)/(1+B130)))/(B127-((B129*$B$10*$B$8*$B$14)/(D129^(1-$B$10)))-(($B$12*$B$14)/(1+B130)))</f>
        <v>8.3948563228528243</v>
      </c>
      <c r="F129" s="5">
        <f t="shared" si="16"/>
        <v>100.22757170742463</v>
      </c>
      <c r="G129" s="5">
        <f>I128</f>
        <v>45.011024052366423</v>
      </c>
      <c r="H129" s="13">
        <f>((B127*G129)-(0.77*B126*B132)-(B129*B133*(G129^$B$10)*B132)-((B134*G129*B132)/(1+J128)))/(B127-((B129*$B$10*B133*B132)/(G129^(1-$B$10)))-((B134*B132)/(1+J128)))</f>
        <v>3.4280701711473434</v>
      </c>
      <c r="I129" s="5">
        <f t="shared" si="17"/>
        <v>41.582953881219083</v>
      </c>
      <c r="J129" s="16">
        <f>K128</f>
        <v>0.78798246431818952</v>
      </c>
      <c r="K129" s="12">
        <f>(LN(2)/((LN(D133))-LN(G133)))</f>
        <v>0.78798246851601828</v>
      </c>
      <c r="L129" s="12">
        <f>J129-K129</f>
        <v>-4.1978287512733914E-9</v>
      </c>
      <c r="M129" s="1"/>
      <c r="N129" s="1"/>
    </row>
    <row r="130" spans="1:14" x14ac:dyDescent="0.25">
      <c r="A130" s="3" t="s">
        <v>52</v>
      </c>
      <c r="B130" s="2">
        <v>0.65</v>
      </c>
      <c r="D130" s="5">
        <f>F129</f>
        <v>100.22757170742463</v>
      </c>
      <c r="E130" s="5">
        <f>((B127*D130)-(0.77*B126*$B$14)-(B129*$B$8*(D130^$B$10)*$B$14)-(($B$12*D130*$B$14)/(1+B130)))/(B127-((B129*$B$10*$B$8*$B$14)/(D130^(1-$B$10)))-(($B$12*$B$14)/(1+B130)))</f>
        <v>3.6432973096220747E-2</v>
      </c>
      <c r="F130" s="5">
        <f t="shared" si="16"/>
        <v>100.1911387343284</v>
      </c>
      <c r="G130" s="5">
        <f>I129</f>
        <v>41.582953881219083</v>
      </c>
      <c r="H130" s="13">
        <f>((B127*G130)-(0.77*B126*B132)-(B129*B133*(G130^$B$10)*B132)-((B134*G130*B132)/(1+J128)))/(B127-((B129*$B$10*B133*B132)/(G130^(1-$B$10)))-((B134*B132)/(1+J128)))</f>
        <v>1.0749831135197717E-2</v>
      </c>
      <c r="I130" s="5">
        <f t="shared" si="17"/>
        <v>41.572204050083883</v>
      </c>
      <c r="J130" s="1"/>
      <c r="K130" s="1"/>
      <c r="L130" s="1"/>
    </row>
    <row r="131" spans="1:14" x14ac:dyDescent="0.25">
      <c r="A131" s="3" t="s">
        <v>55</v>
      </c>
      <c r="B131" s="2">
        <f>($B$10+J129*(1-$B$10)+1)/((1+$B$10)*(1+J129))</f>
        <v>0.72645561473888876</v>
      </c>
      <c r="D131" s="5">
        <f>F130</f>
        <v>100.1911387343284</v>
      </c>
      <c r="E131" s="5">
        <f>((B127*D131)-(0.77*B126*$B$14)-(B129*$B$8*(D131^$B$10)*$B$14)-(($B$12*D131*$B$14)/(1+B130)))/(B127-((B129*$B$10*$B$8*$B$14)/(D131^(1-$B$10)))-(($B$12*$B$14)/(1+B130)))</f>
        <v>7.4615459923781731E-7</v>
      </c>
      <c r="F131" s="5">
        <f t="shared" si="16"/>
        <v>100.19113798817381</v>
      </c>
      <c r="G131" s="5">
        <f>I130</f>
        <v>41.572204050083883</v>
      </c>
      <c r="H131" s="13">
        <f>((B127*G131)-(0.77*B126*B132)-(B129*B133*(G131^$B$10)*B132)-((B134*G131*B132)/(1+J128)))/(B127-((B129*$B$10*B133*B132)/(G131^(1-$B$10)))-((B134*B132)/(1+J128)))</f>
        <v>1.147871668203809E-7</v>
      </c>
      <c r="I131" s="5">
        <f t="shared" si="17"/>
        <v>41.572203935296713</v>
      </c>
      <c r="J131" s="1"/>
      <c r="K131" s="1"/>
      <c r="L131" s="1"/>
    </row>
    <row r="132" spans="1:14" x14ac:dyDescent="0.25">
      <c r="A132" s="3" t="s">
        <v>56</v>
      </c>
      <c r="B132" s="2">
        <v>100</v>
      </c>
      <c r="D132" s="5">
        <f>F131</f>
        <v>100.19113798817381</v>
      </c>
      <c r="E132" s="5">
        <f>((B127*D132)-(0.77*B126*$B$14)-(B129*$B$8*(D132^$B$10)*$B$14)-(($B$12*D132*$B$14)/(1+B130)))/(B127-((B129*$B$10*$B$8*$B$14)/(D132^(1-$B$10)))-(($B$12*$B$14)/(1+B130)))</f>
        <v>-1.2399892896828159E-14</v>
      </c>
      <c r="F132" s="5">
        <f t="shared" si="16"/>
        <v>100.19113798817382</v>
      </c>
      <c r="G132" s="5">
        <f>I131</f>
        <v>41.572203935296713</v>
      </c>
      <c r="H132" s="13">
        <f>((B127*G132)-(0.77*B126*B132)-(B129*B133*(G132^$B$10)*B132)-((B134*G132*B132)/(1+J128)))/(B127-((B129*$B$10*B133*B132)/(G132^(1-$B$10)))-((B134*B132)/(1+J128)))</f>
        <v>-8.9660369019395997E-15</v>
      </c>
      <c r="I132" s="5">
        <f t="shared" si="17"/>
        <v>41.57220393529672</v>
      </c>
    </row>
    <row r="133" spans="1:14" x14ac:dyDescent="0.25">
      <c r="A133" s="3" t="s">
        <v>25</v>
      </c>
      <c r="B133" s="2">
        <v>3.3999999999999998E-3</v>
      </c>
      <c r="D133" s="6">
        <f>F132</f>
        <v>100.19113798817382</v>
      </c>
      <c r="E133" s="5">
        <f>((B127*D133)-(0.77*B126*$B$14)-(B129*$B$8*(D133^$B$10)*$B$14)-(($B$12*D133*$B$14)/(1+B130)))/(B127-((B129*$B$10*$B$8*$B$14)/(D133^(1-$B$10)))-(($B$12*$B$14)/(1+B130)))</f>
        <v>4.9599571587312639E-15</v>
      </c>
      <c r="F133" s="5">
        <f t="shared" si="16"/>
        <v>100.19113798817382</v>
      </c>
      <c r="G133" s="6">
        <f>I132</f>
        <v>41.57220393529672</v>
      </c>
      <c r="H133" s="13">
        <f>((B127*G133)-(0.77*B126*B132)-(B129*B133*(G133^$B$10)*B132)-((B134*G133*B132)/(1+J128)))/(B127-((B129*$B$10*B133*B132)/(G133^(1-$B$10)))-((B134*B132)/(1+J128)))</f>
        <v>0</v>
      </c>
      <c r="I133" s="5">
        <f t="shared" si="17"/>
        <v>41.57220393529672</v>
      </c>
    </row>
    <row r="134" spans="1:14" x14ac:dyDescent="0.25">
      <c r="A134" s="3" t="s">
        <v>26</v>
      </c>
      <c r="B134" s="2">
        <v>1E-4</v>
      </c>
    </row>
    <row r="135" spans="1:14" x14ac:dyDescent="0.25">
      <c r="A135" s="42" t="s">
        <v>80</v>
      </c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</row>
    <row r="136" spans="1:14" ht="19.5" thickBot="1" x14ac:dyDescent="0.35">
      <c r="A136" s="11"/>
      <c r="B136" s="39" t="s">
        <v>77</v>
      </c>
      <c r="C136" s="39" t="s">
        <v>78</v>
      </c>
      <c r="D136" s="39" t="s">
        <v>29</v>
      </c>
      <c r="E136" s="39" t="s">
        <v>20</v>
      </c>
      <c r="F136" s="39" t="s">
        <v>30</v>
      </c>
      <c r="G136" s="39" t="s">
        <v>31</v>
      </c>
      <c r="H136" s="39" t="s">
        <v>79</v>
      </c>
      <c r="I136" s="39" t="s">
        <v>32</v>
      </c>
      <c r="J136" s="1"/>
      <c r="K136" s="1"/>
    </row>
    <row r="137" spans="1:14" x14ac:dyDescent="0.25">
      <c r="A137" s="11"/>
      <c r="B137" s="1">
        <f>B36</f>
        <v>14.548145784964923</v>
      </c>
      <c r="C137" s="1">
        <f>B137*60/1000</f>
        <v>0.87288874709789532</v>
      </c>
      <c r="D137" s="10">
        <f>D41</f>
        <v>21.915421379774102</v>
      </c>
      <c r="E137" s="9">
        <f>J37</f>
        <v>0.94785656629004023</v>
      </c>
      <c r="F137" s="9">
        <f>$B$14/(D137^E137)</f>
        <v>10.719918160644085</v>
      </c>
      <c r="G137" s="9">
        <f>((C137^2*$B$16^2*$B$14)/3600)^0.23</f>
        <v>0.10991982073602645</v>
      </c>
      <c r="H137" s="10">
        <f>((($D$17*$B$14)-(0.8*G137*$B$14))/C137)+D137</f>
        <v>14.598141441179699</v>
      </c>
      <c r="I137" s="21">
        <f>(($D$17*$B$14)/(C137*H137))*100</f>
        <v>87.894471814015176</v>
      </c>
      <c r="K137" s="47" t="s">
        <v>90</v>
      </c>
      <c r="L137" s="48"/>
      <c r="M137" s="48"/>
      <c r="N137" s="49"/>
    </row>
    <row r="138" spans="1:14" x14ac:dyDescent="0.25">
      <c r="A138" s="11"/>
      <c r="B138" s="1">
        <f>B51</f>
        <v>12</v>
      </c>
      <c r="C138" s="1">
        <f t="shared" ref="C138:C142" si="18">B138*60/1000</f>
        <v>0.72</v>
      </c>
      <c r="D138" s="10">
        <f>D56</f>
        <v>24.796592988390639</v>
      </c>
      <c r="E138" s="9">
        <f>J52</f>
        <v>0.94005014335949355</v>
      </c>
      <c r="F138" s="9">
        <f t="shared" ref="F138:F145" si="19">$B$14/(D138^E138)</f>
        <v>9.7775846238751143</v>
      </c>
      <c r="G138" s="9">
        <f t="shared" ref="G138:G145" si="20">((C138^2*$B$16^2*$B$14)/3600)^0.23</f>
        <v>0.10060229036151139</v>
      </c>
      <c r="H138" s="10">
        <f t="shared" ref="H138:H145" si="21">((($D$17*$B$14)-(0.8*G138*$B$14))/C138)+D138</f>
        <v>17.996084019165885</v>
      </c>
      <c r="I138" s="21">
        <f t="shared" ref="I138:I145" si="22">(($D$17*$B$14)/(C138*H138))*100</f>
        <v>86.43855818292937</v>
      </c>
      <c r="K138" s="50"/>
      <c r="L138" s="51"/>
      <c r="M138" s="51"/>
      <c r="N138" s="52"/>
    </row>
    <row r="139" spans="1:14" x14ac:dyDescent="0.25">
      <c r="A139" s="11"/>
      <c r="B139" s="1">
        <f>B62</f>
        <v>10</v>
      </c>
      <c r="C139" s="20">
        <f t="shared" si="18"/>
        <v>0.6</v>
      </c>
      <c r="D139" s="10">
        <f>D67</f>
        <v>27.952869441748753</v>
      </c>
      <c r="E139" s="9">
        <f>J63</f>
        <v>0.93160895194763971</v>
      </c>
      <c r="F139" s="9">
        <f t="shared" si="19"/>
        <v>8.9851683105710123</v>
      </c>
      <c r="G139" s="9">
        <f t="shared" si="20"/>
        <v>9.2509108347685567E-2</v>
      </c>
      <c r="H139" s="10">
        <f t="shared" si="21"/>
        <v>21.950440549032599</v>
      </c>
      <c r="I139" s="21">
        <f>(($D$17*$B$14)/(C139*H139))*100</f>
        <v>85.040054776893058</v>
      </c>
      <c r="K139" s="50"/>
      <c r="L139" s="51"/>
      <c r="M139" s="51"/>
      <c r="N139" s="52"/>
    </row>
    <row r="140" spans="1:14" x14ac:dyDescent="0.25">
      <c r="A140" s="11"/>
      <c r="B140" s="1">
        <f>B73</f>
        <v>8</v>
      </c>
      <c r="C140" s="1">
        <f t="shared" si="18"/>
        <v>0.48</v>
      </c>
      <c r="D140" s="10">
        <f>D78</f>
        <v>32.511669764941608</v>
      </c>
      <c r="E140" s="9">
        <f>J74</f>
        <v>0.91969189437062848</v>
      </c>
      <c r="F140" s="9">
        <f t="shared" si="19"/>
        <v>8.1361646830285554</v>
      </c>
      <c r="G140" s="9">
        <f t="shared" si="20"/>
        <v>8.3484507413975492E-2</v>
      </c>
      <c r="H140" s="10">
        <f>((($D$17*$B$14)-(0.8*G140*$B$14))/C140)+D140</f>
        <v>28.016833960283112</v>
      </c>
      <c r="I140" s="21">
        <f t="shared" si="22"/>
        <v>83.283262364372987</v>
      </c>
      <c r="K140" s="50"/>
      <c r="L140" s="51"/>
      <c r="M140" s="51"/>
      <c r="N140" s="52"/>
    </row>
    <row r="141" spans="1:14" x14ac:dyDescent="0.25">
      <c r="A141" s="11"/>
      <c r="B141" s="1">
        <f>B84</f>
        <v>6</v>
      </c>
      <c r="C141" s="1">
        <f t="shared" si="18"/>
        <v>0.36</v>
      </c>
      <c r="D141" s="10">
        <f>D89</f>
        <v>39.847637724522684</v>
      </c>
      <c r="E141" s="9">
        <f>J85</f>
        <v>0.9013363116776425</v>
      </c>
      <c r="F141" s="9">
        <f t="shared" si="19"/>
        <v>7.2198643294728644</v>
      </c>
      <c r="G141" s="9">
        <f t="shared" si="20"/>
        <v>7.3136482682557777E-2</v>
      </c>
      <c r="H141" s="10">
        <f t="shared" si="21"/>
        <v>38.453645421163671</v>
      </c>
      <c r="I141" s="21">
        <f t="shared" si="22"/>
        <v>80.905492237124903</v>
      </c>
      <c r="K141" s="50"/>
      <c r="L141" s="51"/>
      <c r="M141" s="51"/>
      <c r="N141" s="52"/>
    </row>
    <row r="142" spans="1:14" x14ac:dyDescent="0.25">
      <c r="A142" s="11"/>
      <c r="B142" s="30">
        <f>B95</f>
        <v>5</v>
      </c>
      <c r="C142" s="37">
        <f t="shared" si="18"/>
        <v>0.3</v>
      </c>
      <c r="D142" s="29">
        <f>D100</f>
        <v>45.609795099615901</v>
      </c>
      <c r="E142" s="31">
        <f>J96</f>
        <v>0.88768867949102437</v>
      </c>
      <c r="F142" s="31">
        <f t="shared" si="19"/>
        <v>6.7344616303544198</v>
      </c>
      <c r="G142" s="31">
        <f t="shared" si="20"/>
        <v>6.7252850569670911E-2</v>
      </c>
      <c r="H142" s="29">
        <f t="shared" si="21"/>
        <v>47.074941462458085</v>
      </c>
      <c r="I142" s="32">
        <f t="shared" si="22"/>
        <v>79.306170487979031</v>
      </c>
      <c r="K142" s="50"/>
      <c r="L142" s="51"/>
      <c r="M142" s="51"/>
      <c r="N142" s="52"/>
    </row>
    <row r="143" spans="1:14" ht="15.75" thickBot="1" x14ac:dyDescent="0.3">
      <c r="A143" s="11"/>
      <c r="B143" s="1">
        <f>B106</f>
        <v>4</v>
      </c>
      <c r="C143" s="1">
        <f>B143*60/1000</f>
        <v>0.24</v>
      </c>
      <c r="D143" s="29">
        <f>D111</f>
        <v>54.229886550181732</v>
      </c>
      <c r="E143" s="9">
        <f>J107</f>
        <v>0.86854319751742803</v>
      </c>
      <c r="F143" s="9">
        <f t="shared" si="19"/>
        <v>6.2340283575974089</v>
      </c>
      <c r="G143" s="9">
        <f t="shared" si="20"/>
        <v>6.069208970097207E-2</v>
      </c>
      <c r="H143" s="29">
        <f t="shared" si="21"/>
        <v>60.435160082867021</v>
      </c>
      <c r="I143" s="21">
        <f t="shared" si="22"/>
        <v>77.217743119532784</v>
      </c>
      <c r="K143" s="53"/>
      <c r="L143" s="54"/>
      <c r="M143" s="54"/>
      <c r="N143" s="55"/>
    </row>
    <row r="144" spans="1:14" x14ac:dyDescent="0.25">
      <c r="A144" s="11"/>
      <c r="B144" s="10">
        <f>B117</f>
        <v>3</v>
      </c>
      <c r="C144" s="1">
        <f>B144*60/1000</f>
        <v>0.18</v>
      </c>
      <c r="D144" s="29">
        <f>D122</f>
        <v>68.846067996494142</v>
      </c>
      <c r="E144" s="9">
        <f>J118</f>
        <v>0.83933378241806178</v>
      </c>
      <c r="F144" s="9">
        <f t="shared" si="19"/>
        <v>5.7337129157787459</v>
      </c>
      <c r="G144" s="9">
        <f t="shared" si="20"/>
        <v>5.3169217916955898E-2</v>
      </c>
      <c r="H144" s="29">
        <f t="shared" si="21"/>
        <v>83.806763181422241</v>
      </c>
      <c r="I144" s="21">
        <f t="shared" si="22"/>
        <v>74.244869817398296</v>
      </c>
    </row>
    <row r="145" spans="1:14" x14ac:dyDescent="0.25">
      <c r="A145" s="11"/>
      <c r="B145" s="10">
        <f>B128</f>
        <v>2</v>
      </c>
      <c r="C145" s="1">
        <f t="shared" ref="C145" si="23">B145*60/1000</f>
        <v>0.12</v>
      </c>
      <c r="D145" s="29">
        <f>D133</f>
        <v>100.19113798817382</v>
      </c>
      <c r="E145" s="9">
        <f>J129</f>
        <v>0.78798246431818952</v>
      </c>
      <c r="F145" s="9">
        <f t="shared" si="19"/>
        <v>5.3016564980344061</v>
      </c>
      <c r="G145" s="9">
        <f t="shared" si="20"/>
        <v>4.4122315221976231E-2</v>
      </c>
      <c r="H145" s="29">
        <f t="shared" si="21"/>
        <v>134.69471769220553</v>
      </c>
      <c r="I145" s="21">
        <f t="shared" si="22"/>
        <v>69.292497087088321</v>
      </c>
    </row>
    <row r="146" spans="1:14" x14ac:dyDescent="0.25">
      <c r="A146" s="11"/>
      <c r="D146" s="10"/>
      <c r="E146" s="9"/>
      <c r="F146" s="9"/>
      <c r="G146" s="9"/>
      <c r="H146" s="10"/>
    </row>
    <row r="147" spans="1:14" x14ac:dyDescent="0.25">
      <c r="A147" s="11"/>
      <c r="D147" s="10"/>
      <c r="E147" s="9"/>
      <c r="F147" s="9"/>
      <c r="G147" s="9"/>
      <c r="H147" s="10"/>
    </row>
    <row r="148" spans="1:14" x14ac:dyDescent="0.25">
      <c r="A148" s="11"/>
      <c r="D148" s="10"/>
      <c r="E148" s="9"/>
      <c r="F148" s="9"/>
      <c r="G148" s="9"/>
      <c r="H148" s="10"/>
    </row>
    <row r="149" spans="1:14" x14ac:dyDescent="0.25">
      <c r="A149" s="11"/>
      <c r="D149" s="10"/>
      <c r="E149" s="9"/>
      <c r="F149" s="9"/>
      <c r="G149" s="9"/>
      <c r="H149" s="10"/>
    </row>
    <row r="150" spans="1:14" x14ac:dyDescent="0.25">
      <c r="A150" s="11"/>
      <c r="D150" s="10"/>
      <c r="E150" s="9"/>
      <c r="F150" s="9"/>
      <c r="G150" s="9"/>
      <c r="H150" s="10"/>
    </row>
    <row r="151" spans="1:14" x14ac:dyDescent="0.25">
      <c r="A151" s="42" t="s">
        <v>80</v>
      </c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</row>
    <row r="152" spans="1:14" x14ac:dyDescent="0.25">
      <c r="A152" s="11"/>
    </row>
    <row r="153" spans="1:14" x14ac:dyDescent="0.25">
      <c r="B153" s="19" t="s">
        <v>61</v>
      </c>
      <c r="C153" s="19" t="s">
        <v>29</v>
      </c>
      <c r="D153" s="33" t="s">
        <v>62</v>
      </c>
      <c r="E153" s="8"/>
      <c r="G153" s="8"/>
      <c r="I153" s="28" t="s">
        <v>91</v>
      </c>
      <c r="J153" s="5">
        <f>H142+30</f>
        <v>77.074941462458085</v>
      </c>
      <c r="K153" s="27" t="s">
        <v>65</v>
      </c>
    </row>
    <row r="154" spans="1:14" x14ac:dyDescent="0.25">
      <c r="B154" s="2">
        <v>0</v>
      </c>
      <c r="C154" s="22">
        <f>(B154/$F$142)^(1/$E$142)</f>
        <v>0</v>
      </c>
      <c r="D154" s="25">
        <f>($B$8*C154^$B$10)+($B$12*C154)+(0.8*$G$142)+($C$142*($H$142-C154)*$B$14^-1)</f>
        <v>0.12441469264942386</v>
      </c>
      <c r="E154" s="12">
        <f>D154</f>
        <v>0.12441469264942386</v>
      </c>
      <c r="G154" s="9"/>
      <c r="I154" s="28" t="s">
        <v>91</v>
      </c>
      <c r="J154" s="5">
        <f>J153/60</f>
        <v>1.2845823577076347</v>
      </c>
      <c r="K154" s="27" t="s">
        <v>66</v>
      </c>
    </row>
    <row r="155" spans="1:14" x14ac:dyDescent="0.25">
      <c r="B155" s="2">
        <f>B154+40</f>
        <v>40</v>
      </c>
      <c r="C155" s="22">
        <f t="shared" ref="C155:C158" si="24">(B155/$F$142)^(1/$E$142)</f>
        <v>7.4413834635012819</v>
      </c>
      <c r="D155" s="25">
        <f>($B$8*C155^$B$10)+($B$12*C155)+(0.8*$G$142)+($C$142*($H$142-C155)*$B$14^-1)</f>
        <v>0.12238600461513335</v>
      </c>
      <c r="E155" s="12">
        <f>D155*2</f>
        <v>0.24477200923026671</v>
      </c>
      <c r="G155" s="9"/>
      <c r="I155" s="2"/>
      <c r="J155" s="5"/>
      <c r="K155" s="27"/>
    </row>
    <row r="156" spans="1:14" x14ac:dyDescent="0.25">
      <c r="B156" s="2">
        <f t="shared" ref="B156:B159" si="25">B155+40</f>
        <v>80</v>
      </c>
      <c r="C156" s="22">
        <f t="shared" si="24"/>
        <v>16.246892888764503</v>
      </c>
      <c r="D156" s="25">
        <f>($B$8*C156^$B$10)+($B$12*C156)+(0.8*$G$142)+($C$142*($H$142-C156)*$B$14^-1)</f>
        <v>0.11359039593128076</v>
      </c>
      <c r="E156" s="12">
        <f t="shared" ref="E156:E158" si="26">D156*2</f>
        <v>0.22718079186256152</v>
      </c>
      <c r="G156" s="9"/>
      <c r="I156" s="2"/>
      <c r="J156" s="2"/>
      <c r="K156" s="27"/>
    </row>
    <row r="157" spans="1:14" x14ac:dyDescent="0.25">
      <c r="B157" s="2">
        <f t="shared" si="25"/>
        <v>120</v>
      </c>
      <c r="C157" s="22">
        <f t="shared" si="24"/>
        <v>25.653157683359613</v>
      </c>
      <c r="D157" s="25">
        <f t="shared" ref="D157:D159" si="27">($B$8*C157^$B$10)+($B$12*C157)+(0.8*$G$142)+($C$142*($H$142-C157)*$B$14^-1)</f>
        <v>0.10314199841447651</v>
      </c>
      <c r="E157" s="12">
        <f t="shared" si="26"/>
        <v>0.20628399682895301</v>
      </c>
      <c r="G157" s="9"/>
      <c r="I157" s="28" t="s">
        <v>67</v>
      </c>
      <c r="J157" s="2">
        <v>12</v>
      </c>
      <c r="K157" s="27" t="s">
        <v>66</v>
      </c>
      <c r="L157" t="s">
        <v>68</v>
      </c>
    </row>
    <row r="158" spans="1:14" x14ac:dyDescent="0.25">
      <c r="B158" s="2">
        <f t="shared" si="25"/>
        <v>160</v>
      </c>
      <c r="C158" s="22">
        <f t="shared" si="24"/>
        <v>35.472104056143984</v>
      </c>
      <c r="D158" s="25">
        <f>($B$8*C158^$B$10)+($B$12*C158)+(0.8*$G$142)+($C$142*($H$142-C158)*$B$14^-1)</f>
        <v>9.1694317964358729E-2</v>
      </c>
      <c r="E158" s="12">
        <f t="shared" si="26"/>
        <v>0.18338863592871746</v>
      </c>
      <c r="G158" s="9"/>
      <c r="I158" s="2"/>
      <c r="J158" s="2"/>
      <c r="K158" s="27"/>
    </row>
    <row r="159" spans="1:14" x14ac:dyDescent="0.25">
      <c r="B159" s="2">
        <f t="shared" si="25"/>
        <v>200</v>
      </c>
      <c r="C159" s="22">
        <f>D142</f>
        <v>45.609795099615901</v>
      </c>
      <c r="D159" s="25">
        <f t="shared" si="27"/>
        <v>7.9530444030393083E-2</v>
      </c>
      <c r="E159" s="12">
        <f>D159</f>
        <v>7.9530444030393083E-2</v>
      </c>
      <c r="G159" s="9"/>
      <c r="I159" s="28" t="s">
        <v>69</v>
      </c>
      <c r="J159" s="2">
        <f>J157/J154</f>
        <v>9.3415575326865472</v>
      </c>
      <c r="K159" s="27" t="s">
        <v>70</v>
      </c>
    </row>
    <row r="160" spans="1:14" x14ac:dyDescent="0.25">
      <c r="C160" s="35"/>
      <c r="D160" s="23" t="s">
        <v>63</v>
      </c>
      <c r="E160" s="9">
        <f>SUM(E154:E159)</f>
        <v>1.0655705705303156</v>
      </c>
      <c r="F160" s="9"/>
      <c r="G160" s="9"/>
      <c r="I160" s="28" t="s">
        <v>69</v>
      </c>
      <c r="J160" s="2">
        <v>9</v>
      </c>
      <c r="K160" s="27" t="s">
        <v>70</v>
      </c>
    </row>
    <row r="161" spans="1:11" x14ac:dyDescent="0.25">
      <c r="C161" s="35"/>
      <c r="D161" s="24" t="s">
        <v>64</v>
      </c>
      <c r="E161" s="26">
        <f>$B$14*(E160/(2*5))</f>
        <v>21.311411410606311</v>
      </c>
      <c r="F161" s="9"/>
      <c r="G161" s="9"/>
      <c r="I161" s="2"/>
      <c r="J161" s="2"/>
      <c r="K161" s="27"/>
    </row>
    <row r="162" spans="1:11" x14ac:dyDescent="0.25">
      <c r="C162" s="35"/>
      <c r="D162" s="24" t="s">
        <v>33</v>
      </c>
      <c r="E162" s="26">
        <f>((E161-D17*B14)/(C142*H142))*100</f>
        <v>71.597974750325051</v>
      </c>
      <c r="F162" s="9"/>
      <c r="G162" s="9"/>
      <c r="I162" s="28" t="s">
        <v>71</v>
      </c>
      <c r="J162" s="2">
        <f>(400*200)/(J160*1)</f>
        <v>8888.8888888888887</v>
      </c>
      <c r="K162" s="27" t="s">
        <v>72</v>
      </c>
    </row>
    <row r="163" spans="1:11" x14ac:dyDescent="0.25">
      <c r="C163" s="35"/>
      <c r="D163" s="24" t="s">
        <v>34</v>
      </c>
      <c r="E163" s="26">
        <f>100-I142-E162</f>
        <v>-50.904145238304082</v>
      </c>
      <c r="F163" s="9"/>
      <c r="G163" s="9"/>
      <c r="I163" s="28" t="s">
        <v>71</v>
      </c>
      <c r="J163" s="2">
        <f>J162/10000</f>
        <v>0.88888888888888884</v>
      </c>
      <c r="K163" s="27" t="s">
        <v>73</v>
      </c>
    </row>
    <row r="164" spans="1:11" x14ac:dyDescent="0.25">
      <c r="A164"/>
      <c r="C164" s="35"/>
      <c r="D164" s="35"/>
      <c r="E164" s="35"/>
      <c r="F164" s="9"/>
      <c r="G164" s="9"/>
      <c r="I164" s="2"/>
      <c r="J164" s="2"/>
      <c r="K164" s="27"/>
    </row>
    <row r="165" spans="1:11" x14ac:dyDescent="0.25">
      <c r="A165" s="23"/>
      <c r="D165" s="1"/>
      <c r="F165" s="23"/>
      <c r="G165" s="9"/>
      <c r="I165" s="28" t="s">
        <v>74</v>
      </c>
      <c r="J165" s="26">
        <f>J162/(J166*200)</f>
        <v>11.111111111111111</v>
      </c>
      <c r="K165" s="27" t="s">
        <v>3</v>
      </c>
    </row>
    <row r="166" spans="1:11" x14ac:dyDescent="0.25">
      <c r="D166" s="1"/>
      <c r="F166" s="34"/>
      <c r="G166" s="20"/>
      <c r="I166" s="28" t="s">
        <v>92</v>
      </c>
      <c r="J166" s="2">
        <v>4</v>
      </c>
      <c r="K166" s="27" t="s">
        <v>95</v>
      </c>
    </row>
    <row r="167" spans="1:11" x14ac:dyDescent="0.25">
      <c r="C167" s="20"/>
      <c r="D167" s="1"/>
      <c r="F167" s="34"/>
      <c r="G167" s="20"/>
      <c r="I167" s="2"/>
      <c r="J167" s="2"/>
      <c r="K167" s="27"/>
    </row>
    <row r="168" spans="1:11" x14ac:dyDescent="0.25">
      <c r="F168" s="34"/>
      <c r="G168" s="20"/>
      <c r="I168" s="28" t="s">
        <v>96</v>
      </c>
      <c r="J168" s="2">
        <f>J166*J160*1</f>
        <v>36</v>
      </c>
      <c r="K168" s="27" t="s">
        <v>93</v>
      </c>
    </row>
    <row r="169" spans="1:11" x14ac:dyDescent="0.25">
      <c r="I169" s="2"/>
      <c r="J169" s="2"/>
      <c r="K169" s="27"/>
    </row>
    <row r="170" spans="1:11" x14ac:dyDescent="0.25">
      <c r="I170" s="2"/>
      <c r="J170" s="2"/>
      <c r="K170" s="27"/>
    </row>
    <row r="171" spans="1:11" x14ac:dyDescent="0.25">
      <c r="I171" s="28" t="s">
        <v>75</v>
      </c>
      <c r="J171" s="36">
        <f>J165*J166*B142</f>
        <v>222.22222222222223</v>
      </c>
      <c r="K171" s="27" t="s">
        <v>76</v>
      </c>
    </row>
    <row r="172" spans="1:11" x14ac:dyDescent="0.25">
      <c r="I172" s="56" t="s">
        <v>94</v>
      </c>
      <c r="J172" s="56"/>
      <c r="K172" s="56"/>
    </row>
    <row r="173" spans="1:11" x14ac:dyDescent="0.25">
      <c r="I173" s="56"/>
      <c r="J173" s="56"/>
      <c r="K173" s="56"/>
    </row>
    <row r="174" spans="1:11" x14ac:dyDescent="0.25">
      <c r="I174" s="56"/>
      <c r="J174" s="56"/>
      <c r="K174" s="56"/>
    </row>
    <row r="175" spans="1:11" x14ac:dyDescent="0.25">
      <c r="I175" s="56"/>
      <c r="J175" s="56"/>
      <c r="K175" s="56"/>
    </row>
    <row r="176" spans="1:11" x14ac:dyDescent="0.25">
      <c r="I176" s="56"/>
      <c r="J176" s="56"/>
      <c r="K176" s="56"/>
    </row>
    <row r="177" spans="9:11" x14ac:dyDescent="0.25">
      <c r="I177" s="56"/>
      <c r="J177" s="56"/>
      <c r="K177" s="56"/>
    </row>
  </sheetData>
  <mergeCells count="43">
    <mergeCell ref="K137:N143"/>
    <mergeCell ref="I172:K177"/>
    <mergeCell ref="A151:N151"/>
    <mergeCell ref="D115:F115"/>
    <mergeCell ref="G115:I115"/>
    <mergeCell ref="J115:L115"/>
    <mergeCell ref="A125:N125"/>
    <mergeCell ref="D126:F126"/>
    <mergeCell ref="G126:I126"/>
    <mergeCell ref="J126:L126"/>
    <mergeCell ref="A135:N135"/>
    <mergeCell ref="G93:I93"/>
    <mergeCell ref="J93:L93"/>
    <mergeCell ref="A103:N103"/>
    <mergeCell ref="D104:F104"/>
    <mergeCell ref="A81:N81"/>
    <mergeCell ref="D82:F82"/>
    <mergeCell ref="G82:I82"/>
    <mergeCell ref="J82:L82"/>
    <mergeCell ref="A92:N92"/>
    <mergeCell ref="A48:N48"/>
    <mergeCell ref="D49:F49"/>
    <mergeCell ref="G49:I49"/>
    <mergeCell ref="J49:L49"/>
    <mergeCell ref="A114:N114"/>
    <mergeCell ref="A59:N59"/>
    <mergeCell ref="G104:I104"/>
    <mergeCell ref="J104:L104"/>
    <mergeCell ref="D60:F60"/>
    <mergeCell ref="G60:I60"/>
    <mergeCell ref="J60:L60"/>
    <mergeCell ref="A70:N70"/>
    <mergeCell ref="D71:F71"/>
    <mergeCell ref="G71:I71"/>
    <mergeCell ref="J71:L71"/>
    <mergeCell ref="D93:F93"/>
    <mergeCell ref="A5:E5"/>
    <mergeCell ref="D34:F34"/>
    <mergeCell ref="G34:I34"/>
    <mergeCell ref="J34:L34"/>
    <mergeCell ref="A31:N31"/>
    <mergeCell ref="A33:N33"/>
    <mergeCell ref="A24:N2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Possel</dc:creator>
  <cp:lastModifiedBy>Chaiane Guerra da Conceição</cp:lastModifiedBy>
  <cp:lastPrinted>2026-04-29T19:37:43Z</cp:lastPrinted>
  <dcterms:created xsi:type="dcterms:W3CDTF">2025-12-06T17:56:47Z</dcterms:created>
  <dcterms:modified xsi:type="dcterms:W3CDTF">2026-06-16T18:40:33Z</dcterms:modified>
</cp:coreProperties>
</file>