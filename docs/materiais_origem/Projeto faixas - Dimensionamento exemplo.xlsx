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/>
  <calcPr/>
</workbook>
</file>

<file path=xl/sharedStrings.xml><?xml version="1.0" encoding="utf-8"?>
<sst xmlns="http://schemas.openxmlformats.org/spreadsheetml/2006/main" count="359" uniqueCount="142">
  <si>
    <t>I 1° irrigação</t>
  </si>
  <si>
    <t>I 3° irrigação</t>
  </si>
  <si>
    <t>Dados de entrada</t>
  </si>
  <si>
    <t>Parâmetro</t>
  </si>
  <si>
    <t>Valor</t>
  </si>
  <si>
    <t>Unidade</t>
  </si>
  <si>
    <t>Valor convertido</t>
  </si>
  <si>
    <t>k (1° irrigação)</t>
  </si>
  <si>
    <t>k (3° irrigação)</t>
  </si>
  <si>
    <t>a (1° irrigação)</t>
  </si>
  <si>
    <t>a (3° irrigação)</t>
  </si>
  <si>
    <t>Vib (1° irrigação)</t>
  </si>
  <si>
    <t>Vib (3° irrigação)</t>
  </si>
  <si>
    <t>Largura área</t>
  </si>
  <si>
    <t>m</t>
  </si>
  <si>
    <t>Comprimento área</t>
  </si>
  <si>
    <t>Declividade (long)</t>
  </si>
  <si>
    <t>%</t>
  </si>
  <si>
    <t>m/m</t>
  </si>
  <si>
    <t>n</t>
  </si>
  <si>
    <t>IRN</t>
  </si>
  <si>
    <t>mm</t>
  </si>
  <si>
    <t>ETC</t>
  </si>
  <si>
    <t>mm/dia</t>
  </si>
  <si>
    <t>Qt disponível</t>
  </si>
  <si>
    <t>l/s</t>
  </si>
  <si>
    <t>Vmax não erosiva</t>
  </si>
  <si>
    <t>m/min</t>
  </si>
  <si>
    <t>p1</t>
  </si>
  <si>
    <t>p2</t>
  </si>
  <si>
    <t>Cálculos iniciais</t>
  </si>
  <si>
    <t>Qmáx</t>
  </si>
  <si>
    <t>m³/min</t>
  </si>
  <si>
    <t>L/s/m</t>
  </si>
  <si>
    <t>Comp. da faixa</t>
  </si>
  <si>
    <t>Comprimento adotado</t>
  </si>
  <si>
    <t>1° vazão a ser testada</t>
  </si>
  <si>
    <t>Determinação do Tempo de oportunidade (To)</t>
  </si>
  <si>
    <r>
      <rPr>
        <rFont val="Calibri"/>
        <b/>
        <color theme="0"/>
        <sz val="11.0"/>
      </rPr>
      <t>1</t>
    </r>
    <r>
      <rPr>
        <rFont val="Calibri"/>
        <b/>
        <color theme="0"/>
        <sz val="11.0"/>
      </rPr>
      <t>1ª Irrigação</t>
    </r>
  </si>
  <si>
    <t>3ª Irrigação</t>
  </si>
  <si>
    <t>To admitido (min)</t>
  </si>
  <si>
    <t>IRN (m)</t>
  </si>
  <si>
    <t>Iterações</t>
  </si>
  <si>
    <t>to (i)</t>
  </si>
  <si>
    <t>to (i + 1)</t>
  </si>
  <si>
    <t>correção</t>
  </si>
  <si>
    <t>Determinação do Tempo de avanço (Tx ou Ta) (TESTAR DIFERENTES VAZÕES)</t>
  </si>
  <si>
    <t>PARA Q0 = 8,62l/S</t>
  </si>
  <si>
    <t>A0</t>
  </si>
  <si>
    <t>Ta total (m)</t>
  </si>
  <si>
    <t>Ta médio (m)</t>
  </si>
  <si>
    <t>r</t>
  </si>
  <si>
    <t>Q0 (m³/min)</t>
  </si>
  <si>
    <t>ta (i)</t>
  </si>
  <si>
    <t>ta (i+1)</t>
  </si>
  <si>
    <t>taméd (i)</t>
  </si>
  <si>
    <t>taméd(i+1)</t>
  </si>
  <si>
    <t>r(i)</t>
  </si>
  <si>
    <t>r(i+1)</t>
  </si>
  <si>
    <t>erro</t>
  </si>
  <si>
    <t>Q0 (L/s)</t>
  </si>
  <si>
    <r>
      <rPr>
        <rFont val="Aptos Narrow"/>
        <b/>
        <color theme="1"/>
        <sz val="11.0"/>
      </rPr>
      <t>σ</t>
    </r>
    <r>
      <rPr>
        <rFont val="Calibri"/>
        <b/>
        <color theme="1"/>
        <sz val="11.0"/>
      </rPr>
      <t>z</t>
    </r>
  </si>
  <si>
    <t>r (atribuído)</t>
  </si>
  <si>
    <r>
      <rPr>
        <rFont val="Aptos Narrow"/>
        <b/>
        <color theme="1"/>
        <sz val="11.0"/>
      </rPr>
      <t>σ</t>
    </r>
    <r>
      <rPr>
        <rFont val="Calibri"/>
        <b/>
        <color theme="1"/>
        <sz val="11.0"/>
      </rPr>
      <t>z (médio)</t>
    </r>
  </si>
  <si>
    <t>L (médio) (m)</t>
  </si>
  <si>
    <t>k</t>
  </si>
  <si>
    <t>VIB</t>
  </si>
  <si>
    <t>PARA Q0 = 5l/S</t>
  </si>
  <si>
    <r>
      <rPr>
        <rFont val="Aptos Narrow"/>
        <b/>
        <color theme="1"/>
        <sz val="11.0"/>
      </rPr>
      <t>σ</t>
    </r>
    <r>
      <rPr>
        <rFont val="Calibri"/>
        <b/>
        <color theme="1"/>
        <sz val="11.0"/>
      </rPr>
      <t>z</t>
    </r>
  </si>
  <si>
    <r>
      <rPr>
        <rFont val="Aptos Narrow"/>
        <b/>
        <color theme="1"/>
        <sz val="11.0"/>
      </rPr>
      <t>σ</t>
    </r>
    <r>
      <rPr>
        <rFont val="Calibri"/>
        <b/>
        <color theme="1"/>
        <sz val="11.0"/>
      </rPr>
      <t>z (médio)</t>
    </r>
  </si>
  <si>
    <t>PARA Q0 = 3,0l/S</t>
  </si>
  <si>
    <r>
      <rPr>
        <rFont val="Aptos Narrow"/>
        <b/>
        <color theme="1"/>
        <sz val="11.0"/>
      </rPr>
      <t>σ</t>
    </r>
    <r>
      <rPr>
        <rFont val="Calibri"/>
        <b/>
        <color theme="1"/>
        <sz val="11.0"/>
      </rPr>
      <t>z</t>
    </r>
  </si>
  <si>
    <r>
      <rPr>
        <rFont val="Aptos Narrow"/>
        <b/>
        <color theme="1"/>
        <sz val="11.0"/>
      </rPr>
      <t>σ</t>
    </r>
    <r>
      <rPr>
        <rFont val="Calibri"/>
        <b/>
        <color theme="1"/>
        <sz val="11.0"/>
      </rPr>
      <t>z (médio)</t>
    </r>
  </si>
  <si>
    <t>PARA Q0 = 2,1l/S</t>
  </si>
  <si>
    <r>
      <rPr>
        <rFont val="Aptos Narrow"/>
        <b/>
        <color theme="1"/>
        <sz val="11.0"/>
      </rPr>
      <t>σ</t>
    </r>
    <r>
      <rPr>
        <rFont val="Calibri"/>
        <b/>
        <color theme="1"/>
        <sz val="11.0"/>
      </rPr>
      <t>z</t>
    </r>
  </si>
  <si>
    <r>
      <rPr>
        <rFont val="Aptos Narrow"/>
        <b/>
        <color theme="1"/>
        <sz val="11.0"/>
      </rPr>
      <t>σ</t>
    </r>
    <r>
      <rPr>
        <rFont val="Calibri"/>
        <b/>
        <color theme="1"/>
        <sz val="11.0"/>
      </rPr>
      <t>z (médio)</t>
    </r>
  </si>
  <si>
    <t>PARA Q0 = 1,8l/S</t>
  </si>
  <si>
    <r>
      <rPr>
        <rFont val="Aptos Narrow"/>
        <b/>
        <color theme="1"/>
        <sz val="11.0"/>
      </rPr>
      <t>σ</t>
    </r>
    <r>
      <rPr>
        <rFont val="Calibri"/>
        <b/>
        <color theme="1"/>
        <sz val="11.0"/>
      </rPr>
      <t>z</t>
    </r>
  </si>
  <si>
    <r>
      <rPr>
        <rFont val="Aptos Narrow"/>
        <b/>
        <color theme="1"/>
        <sz val="11.0"/>
      </rPr>
      <t>σ</t>
    </r>
    <r>
      <rPr>
        <rFont val="Calibri"/>
        <b/>
        <color theme="1"/>
        <sz val="11.0"/>
      </rPr>
      <t>z (médio)</t>
    </r>
  </si>
  <si>
    <t>PARA Q0 = 1,5l/S</t>
  </si>
  <si>
    <r>
      <rPr>
        <rFont val="Aptos Narrow"/>
        <b/>
        <color theme="1"/>
        <sz val="11.0"/>
      </rPr>
      <t>σ</t>
    </r>
    <r>
      <rPr>
        <rFont val="Calibri"/>
        <b/>
        <color theme="1"/>
        <sz val="11.0"/>
      </rPr>
      <t>z</t>
    </r>
  </si>
  <si>
    <r>
      <rPr>
        <rFont val="Aptos Narrow"/>
        <b/>
        <color theme="1"/>
        <sz val="11.0"/>
      </rPr>
      <t>σ</t>
    </r>
    <r>
      <rPr>
        <rFont val="Calibri"/>
        <b/>
        <color theme="1"/>
        <sz val="11.0"/>
      </rPr>
      <t>z (médio)</t>
    </r>
  </si>
  <si>
    <t>PARA Q0 = 1,0l/S</t>
  </si>
  <si>
    <r>
      <rPr>
        <rFont val="Aptos Narrow"/>
        <b/>
        <color theme="1"/>
        <sz val="11.0"/>
      </rPr>
      <t>σ</t>
    </r>
    <r>
      <rPr>
        <rFont val="Calibri"/>
        <b/>
        <color theme="1"/>
        <sz val="11.0"/>
      </rPr>
      <t>z</t>
    </r>
  </si>
  <si>
    <r>
      <rPr>
        <rFont val="Aptos Narrow"/>
        <b/>
        <color theme="1"/>
        <sz val="11.0"/>
      </rPr>
      <t>σ</t>
    </r>
    <r>
      <rPr>
        <rFont val="Calibri"/>
        <b/>
        <color theme="1"/>
        <sz val="11.0"/>
      </rPr>
      <t>z (médio)</t>
    </r>
  </si>
  <si>
    <t>ENCONTRANDO AS MELHORES EFICIÊNCIAS</t>
  </si>
  <si>
    <t>Vazões (L/s)</t>
  </si>
  <si>
    <t>Vazões (m³/min)</t>
  </si>
  <si>
    <t>ta (min)</t>
  </si>
  <si>
    <t>p</t>
  </si>
  <si>
    <t>y0</t>
  </si>
  <si>
    <t>ti (min)</t>
  </si>
  <si>
    <t>Ea (%)</t>
  </si>
  <si>
    <t>Vazão(L/s)</t>
  </si>
  <si>
    <t>Vazão (m³/min)</t>
  </si>
  <si>
    <t>tr (min)</t>
  </si>
  <si>
    <t>td</t>
  </si>
  <si>
    <t>ti</t>
  </si>
  <si>
    <t>-</t>
  </si>
  <si>
    <t xml:space="preserve">Determinação do Tempo de depleção (Td) (utilizar vazão com melhor desempenho) </t>
  </si>
  <si>
    <t>i.</t>
  </si>
  <si>
    <t>ii.</t>
  </si>
  <si>
    <t xml:space="preserve">iii. </t>
  </si>
  <si>
    <t>iv.</t>
  </si>
  <si>
    <t>tr = ti = td(i)</t>
  </si>
  <si>
    <t>VIM</t>
  </si>
  <si>
    <t>Sy</t>
  </si>
  <si>
    <t>td(i+1)</t>
  </si>
  <si>
    <t>Perfil de infiltração</t>
  </si>
  <si>
    <t>Vazão 2,1L/s</t>
  </si>
  <si>
    <t>x (m)</t>
  </si>
  <si>
    <t>to(min)</t>
  </si>
  <si>
    <t>I (m3/m)</t>
  </si>
  <si>
    <t>TIP</t>
  </si>
  <si>
    <t>min</t>
  </si>
  <si>
    <t>infiltração no início do sulco</t>
  </si>
  <si>
    <t>horas</t>
  </si>
  <si>
    <t>TDF</t>
  </si>
  <si>
    <t>Adotado</t>
  </si>
  <si>
    <t>NPD</t>
  </si>
  <si>
    <t>parcelas/dia</t>
  </si>
  <si>
    <t>APP</t>
  </si>
  <si>
    <t>m²</t>
  </si>
  <si>
    <t>há</t>
  </si>
  <si>
    <t>infiltração no final do sulco</t>
  </si>
  <si>
    <t>n =</t>
  </si>
  <si>
    <t>Soma</t>
  </si>
  <si>
    <t>W0</t>
  </si>
  <si>
    <t>Volume Inf. (m³)</t>
  </si>
  <si>
    <t>NFP</t>
  </si>
  <si>
    <t>de 50m</t>
  </si>
  <si>
    <t>Pp (%)</t>
  </si>
  <si>
    <t>Pe (%)</t>
  </si>
  <si>
    <t>NTF</t>
  </si>
  <si>
    <t>faixas</t>
  </si>
  <si>
    <t>QT</t>
  </si>
  <si>
    <t>L/s</t>
  </si>
  <si>
    <t>Vazão maior que a disponível</t>
  </si>
  <si>
    <t>Vazão 1,8L/s</t>
  </si>
  <si>
    <t>Menor que a disponível</t>
  </si>
  <si>
    <t>OK</t>
  </si>
  <si>
    <t>Vazão 1,5L/s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</si>
</sst>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0.0000"/>
    <numFmt numFmtId="166" formatCode="0.0"/>
    <numFmt numFmtId="167" formatCode="0.00000000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/>
    <font>
      <b/>
      <i/>
      <sz val="11.0"/>
      <color theme="1"/>
      <name val="Calibri"/>
    </font>
    <font>
      <b/>
      <sz val="11.0"/>
      <color rgb="FFFF33CC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rgb="FFFF33CC"/>
      <name val="Calibri"/>
    </font>
    <font>
      <sz val="11.0"/>
      <color rgb="FFFF0000"/>
      <name val="Calibri"/>
    </font>
    <font>
      <color theme="1"/>
      <name val="Calibri"/>
      <scheme val="minor"/>
    </font>
    <font>
      <sz val="11.0"/>
      <color theme="0"/>
      <name val="Calibri"/>
    </font>
    <font>
      <b/>
      <sz val="11.0"/>
      <color rgb="FF00B05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33CC"/>
        <bgColor rgb="FFFF33CC"/>
      </patternFill>
    </fill>
    <fill>
      <patternFill patternType="solid">
        <fgColor rgb="FFFF99FF"/>
        <bgColor rgb="FFFF99FF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2" fontId="2" numFmtId="0" xfId="0" applyAlignment="1" applyBorder="1" applyFill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4" fillId="0" fontId="5" numFmtId="164" xfId="0" applyAlignment="1" applyBorder="1" applyFont="1" applyNumberFormat="1">
      <alignment horizontal="center"/>
    </xf>
    <xf borderId="4" fillId="0" fontId="1" numFmtId="164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4" fillId="0" fontId="5" numFmtId="0" xfId="0" applyAlignment="1" applyBorder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4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4" fillId="0" fontId="7" numFmtId="0" xfId="0" applyAlignment="1" applyBorder="1" applyFont="1">
      <alignment horizontal="center"/>
    </xf>
    <xf borderId="4" fillId="0" fontId="8" numFmtId="164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1" fillId="3" fontId="6" numFmtId="0" xfId="0" applyAlignment="1" applyBorder="1" applyFill="1" applyFont="1">
      <alignment horizontal="center"/>
    </xf>
    <xf borderId="8" fillId="0" fontId="6" numFmtId="0" xfId="0" applyAlignment="1" applyBorder="1" applyFont="1">
      <alignment horizontal="center"/>
    </xf>
    <xf borderId="8" fillId="0" fontId="1" numFmtId="165" xfId="0" applyAlignment="1" applyBorder="1" applyFont="1" applyNumberFormat="1">
      <alignment horizontal="center"/>
    </xf>
    <xf borderId="9" fillId="0" fontId="6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4" fillId="0" fontId="1" numFmtId="165" xfId="0" applyAlignment="1" applyBorder="1" applyFont="1" applyNumberFormat="1">
      <alignment horizontal="center"/>
    </xf>
    <xf borderId="12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3" fillId="0" fontId="1" numFmtId="0" xfId="0" applyAlignment="1" applyBorder="1" applyFont="1">
      <alignment horizontal="center"/>
    </xf>
    <xf borderId="4" fillId="0" fontId="5" numFmtId="165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1" numFmtId="166" xfId="0" applyAlignment="1" applyFont="1" applyNumberFormat="1">
      <alignment horizontal="center"/>
    </xf>
    <xf borderId="0" fillId="0" fontId="8" numFmtId="165" xfId="0" applyAlignment="1" applyFont="1" applyNumberFormat="1">
      <alignment horizontal="center"/>
    </xf>
    <xf borderId="0" fillId="0" fontId="9" numFmtId="164" xfId="0" applyAlignment="1" applyFont="1" applyNumberFormat="1">
      <alignment horizontal="center"/>
    </xf>
    <xf borderId="4" fillId="0" fontId="6" numFmtId="0" xfId="0" applyAlignment="1" applyBorder="1" applyFont="1">
      <alignment horizontal="center" vertical="center"/>
    </xf>
    <xf borderId="4" fillId="0" fontId="1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3" numFmtId="0" xfId="0" applyBorder="1" applyFont="1"/>
    <xf borderId="4" fillId="0" fontId="1" numFmtId="167" xfId="0" applyAlignment="1" applyBorder="1" applyFont="1" applyNumberFormat="1">
      <alignment horizontal="center"/>
    </xf>
    <xf borderId="8" fillId="0" fontId="3" numFmtId="0" xfId="0" applyBorder="1" applyFont="1"/>
    <xf borderId="4" fillId="0" fontId="8" numFmtId="167" xfId="0" applyAlignment="1" applyBorder="1" applyFont="1" applyNumberFormat="1">
      <alignment horizontal="center"/>
    </xf>
    <xf borderId="4" fillId="0" fontId="6" numFmtId="167" xfId="0" applyAlignment="1" applyBorder="1" applyFont="1" applyNumberFormat="1">
      <alignment horizontal="center"/>
    </xf>
    <xf borderId="0" fillId="0" fontId="1" numFmtId="0" xfId="0" applyAlignment="1" applyFont="1">
      <alignment horizontal="center" vertical="center"/>
    </xf>
    <xf borderId="0" fillId="0" fontId="1" numFmtId="167" xfId="0" applyAlignment="1" applyFont="1" applyNumberFormat="1">
      <alignment horizontal="center"/>
    </xf>
    <xf borderId="0" fillId="0" fontId="6" numFmtId="167" xfId="0" applyAlignment="1" applyFont="1" applyNumberFormat="1">
      <alignment horizontal="center"/>
    </xf>
    <xf borderId="0" fillId="0" fontId="1" numFmtId="0" xfId="0" applyFont="1"/>
    <xf borderId="0" fillId="0" fontId="6" numFmtId="0" xfId="0" applyAlignment="1" applyFont="1">
      <alignment horizontal="center" vertical="center"/>
    </xf>
    <xf borderId="5" fillId="3" fontId="6" numFmtId="0" xfId="0" applyAlignment="1" applyBorder="1" applyFill="1" applyFont="1">
      <alignment horizontal="center"/>
    </xf>
    <xf borderId="4" fillId="2" fontId="2" numFmtId="0" xfId="0" applyAlignment="1" applyBorder="1" applyFill="1" applyFont="1">
      <alignment horizontal="center"/>
    </xf>
    <xf borderId="4" fillId="3" fontId="1" numFmtId="0" xfId="0" applyAlignment="1" applyBorder="1" applyFill="1" applyFont="1">
      <alignment horizontal="center"/>
    </xf>
    <xf borderId="4" fillId="0" fontId="1" numFmtId="1" xfId="0" applyAlignment="1" applyBorder="1" applyFont="1" applyNumberFormat="1">
      <alignment horizontal="center"/>
    </xf>
    <xf borderId="4" fillId="0" fontId="1" numFmtId="2" xfId="0" applyAlignment="1" applyBorder="1" applyFont="1" applyNumberFormat="1">
      <alignment horizontal="center"/>
    </xf>
    <xf borderId="4" fillId="4" fontId="1" numFmtId="165" xfId="0" applyAlignment="1" applyBorder="1" applyFill="1" applyFont="1" applyNumberFormat="1">
      <alignment horizontal="center"/>
    </xf>
    <xf borderId="0" fillId="0" fontId="10" numFmtId="0" xfId="0" applyFont="1"/>
    <xf borderId="0" fillId="0" fontId="1" numFmtId="165" xfId="0" applyFont="1" applyNumberFormat="1"/>
    <xf borderId="0" fillId="0" fontId="1" numFmtId="0" xfId="0" applyAlignment="1" applyFont="1">
      <alignment horizontal="right"/>
    </xf>
    <xf borderId="4" fillId="2" fontId="11" numFmtId="0" xfId="0" applyAlignment="1" applyBorder="1" applyFill="1" applyFont="1">
      <alignment horizontal="center"/>
    </xf>
    <xf borderId="0" fillId="0" fontId="1" numFmtId="2" xfId="0" applyAlignment="1" applyFont="1" applyNumberFormat="1">
      <alignment horizontal="center"/>
    </xf>
    <xf borderId="4" fillId="0" fontId="9" numFmtId="0" xfId="0" applyAlignment="1" applyBorder="1" applyFont="1">
      <alignment horizontal="center"/>
    </xf>
    <xf borderId="4" fillId="0" fontId="12" numFmtId="0" xfId="0" applyBorder="1" applyFont="1"/>
    <xf borderId="4" fillId="0" fontId="12" numFmtId="0" xfId="0" applyAlignment="1" applyBorder="1" applyFont="1">
      <alignment horizontal="center"/>
    </xf>
    <xf borderId="14" fillId="3" fontId="6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Avanço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Planilha1!$C$203:$C$213</c:f>
              <c:numCache/>
            </c:numRef>
          </c:val>
          <c:smooth val="0"/>
        </c:ser>
        <c:ser>
          <c:idx val="1"/>
          <c:order val="1"/>
          <c:tx>
            <c:v>Recessão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Planilha1!$D$203:$D$213</c:f>
              <c:numCache/>
            </c:numRef>
          </c:val>
          <c:smooth val="0"/>
        </c:ser>
        <c:axId val="455418719"/>
        <c:axId val="1134932615"/>
      </c:lineChart>
      <c:catAx>
        <c:axId val="455418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34932615"/>
      </c:catAx>
      <c:valAx>
        <c:axId val="11349326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5541871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3.png"/><Relationship Id="rId22" Type="http://schemas.openxmlformats.org/officeDocument/2006/relationships/image" Target="../media/image15.png"/><Relationship Id="rId21" Type="http://schemas.openxmlformats.org/officeDocument/2006/relationships/image" Target="../media/image20.png"/><Relationship Id="rId24" Type="http://schemas.openxmlformats.org/officeDocument/2006/relationships/image" Target="../media/image18.png"/><Relationship Id="rId23" Type="http://schemas.openxmlformats.org/officeDocument/2006/relationships/image" Target="../media/image2.png"/><Relationship Id="rId1" Type="http://schemas.openxmlformats.org/officeDocument/2006/relationships/chart" Target="../charts/chart1.xml"/><Relationship Id="rId2" Type="http://schemas.openxmlformats.org/officeDocument/2006/relationships/image" Target="../media/image23.png"/><Relationship Id="rId3" Type="http://schemas.openxmlformats.org/officeDocument/2006/relationships/image" Target="../media/image12.png"/><Relationship Id="rId4" Type="http://schemas.openxmlformats.org/officeDocument/2006/relationships/image" Target="../media/image10.png"/><Relationship Id="rId9" Type="http://schemas.openxmlformats.org/officeDocument/2006/relationships/image" Target="../media/image8.png"/><Relationship Id="rId26" Type="http://schemas.openxmlformats.org/officeDocument/2006/relationships/image" Target="../media/image14.png"/><Relationship Id="rId25" Type="http://schemas.openxmlformats.org/officeDocument/2006/relationships/image" Target="../media/image22.png"/><Relationship Id="rId5" Type="http://schemas.openxmlformats.org/officeDocument/2006/relationships/image" Target="../media/image21.png"/><Relationship Id="rId6" Type="http://schemas.openxmlformats.org/officeDocument/2006/relationships/image" Target="../media/image9.png"/><Relationship Id="rId7" Type="http://schemas.openxmlformats.org/officeDocument/2006/relationships/image" Target="../media/image17.png"/><Relationship Id="rId8" Type="http://schemas.openxmlformats.org/officeDocument/2006/relationships/image" Target="../media/image16.png"/><Relationship Id="rId11" Type="http://schemas.openxmlformats.org/officeDocument/2006/relationships/image" Target="../media/image4.png"/><Relationship Id="rId10" Type="http://schemas.openxmlformats.org/officeDocument/2006/relationships/image" Target="../media/image24.png"/><Relationship Id="rId13" Type="http://schemas.openxmlformats.org/officeDocument/2006/relationships/image" Target="../media/image11.png"/><Relationship Id="rId12" Type="http://schemas.openxmlformats.org/officeDocument/2006/relationships/image" Target="../media/image25.png"/><Relationship Id="rId15" Type="http://schemas.openxmlformats.org/officeDocument/2006/relationships/image" Target="../media/image5.png"/><Relationship Id="rId14" Type="http://schemas.openxmlformats.org/officeDocument/2006/relationships/image" Target="../media/image7.png"/><Relationship Id="rId17" Type="http://schemas.openxmlformats.org/officeDocument/2006/relationships/image" Target="../media/image6.png"/><Relationship Id="rId16" Type="http://schemas.openxmlformats.org/officeDocument/2006/relationships/image" Target="../media/image3.png"/><Relationship Id="rId19" Type="http://schemas.openxmlformats.org/officeDocument/2006/relationships/image" Target="../media/image19.png"/><Relationship Id="rId1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95250</xdr:colOff>
      <xdr:row>201</xdr:row>
      <xdr:rowOff>28575</xdr:rowOff>
    </xdr:from>
    <xdr:ext cx="4524375" cy="3914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190500</xdr:colOff>
      <xdr:row>190</xdr:row>
      <xdr:rowOff>133350</xdr:rowOff>
    </xdr:from>
    <xdr:ext cx="2333625" cy="457200"/>
    <xdr:sp>
      <xdr:nvSpPr>
        <xdr:cNvPr id="3" name="Shape 3"/>
        <xdr:cNvSpPr txBox="1"/>
      </xdr:nvSpPr>
      <xdr:spPr>
        <a:xfrm>
          <a:off x="4181352" y="3555516"/>
          <a:ext cx="2329296" cy="448969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L</a:t>
          </a:r>
          <a:endParaRPr sz="1400"/>
        </a:p>
      </xdr:txBody>
    </xdr:sp>
    <xdr:clientData fLocksWithSheet="0"/>
  </xdr:oneCellAnchor>
  <xdr:oneCellAnchor>
    <xdr:from>
      <xdr:col>0</xdr:col>
      <xdr:colOff>1152525</xdr:colOff>
      <xdr:row>0</xdr:row>
      <xdr:rowOff>123825</xdr:rowOff>
    </xdr:from>
    <xdr:ext cx="1685925" cy="552450"/>
    <xdr:pic>
      <xdr:nvPicPr>
        <xdr:cNvPr id="0" name="image2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59</xdr:row>
      <xdr:rowOff>95250</xdr:rowOff>
    </xdr:from>
    <xdr:ext cx="1600200" cy="533400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552450</xdr:colOff>
      <xdr:row>59</xdr:row>
      <xdr:rowOff>104775</xdr:rowOff>
    </xdr:from>
    <xdr:ext cx="2857500" cy="752475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31</xdr:row>
      <xdr:rowOff>47625</xdr:rowOff>
    </xdr:from>
    <xdr:ext cx="4143375" cy="8001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26</xdr:row>
      <xdr:rowOff>104775</xdr:rowOff>
    </xdr:from>
    <xdr:ext cx="1457325" cy="809625"/>
    <xdr:pic>
      <xdr:nvPicPr>
        <xdr:cNvPr id="0" name="image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40</xdr:row>
      <xdr:rowOff>19050</xdr:rowOff>
    </xdr:from>
    <xdr:ext cx="4029075" cy="66675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59</xdr:row>
      <xdr:rowOff>171450</xdr:rowOff>
    </xdr:from>
    <xdr:ext cx="1819275" cy="495300"/>
    <xdr:pic>
      <xdr:nvPicPr>
        <xdr:cNvPr id="0" name="image1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847725</xdr:colOff>
      <xdr:row>59</xdr:row>
      <xdr:rowOff>104775</xdr:rowOff>
    </xdr:from>
    <xdr:ext cx="2895600" cy="676275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154</xdr:row>
      <xdr:rowOff>133350</xdr:rowOff>
    </xdr:from>
    <xdr:ext cx="4648200" cy="3028950"/>
    <xdr:pic>
      <xdr:nvPicPr>
        <xdr:cNvPr id="0" name="image2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59</xdr:row>
      <xdr:rowOff>76200</xdr:rowOff>
    </xdr:from>
    <xdr:ext cx="1800225" cy="809625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193</xdr:row>
      <xdr:rowOff>57150</xdr:rowOff>
    </xdr:from>
    <xdr:ext cx="2171700" cy="619125"/>
    <xdr:pic>
      <xdr:nvPicPr>
        <xdr:cNvPr id="0" name="image2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142875</xdr:colOff>
      <xdr:row>142</xdr:row>
      <xdr:rowOff>95250</xdr:rowOff>
    </xdr:from>
    <xdr:ext cx="2000250" cy="781050"/>
    <xdr:pic>
      <xdr:nvPicPr>
        <xdr:cNvPr id="0" name="image1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142875</xdr:colOff>
      <xdr:row>146</xdr:row>
      <xdr:rowOff>142875</xdr:rowOff>
    </xdr:from>
    <xdr:ext cx="3009900" cy="942975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150</xdr:row>
      <xdr:rowOff>66675</xdr:rowOff>
    </xdr:from>
    <xdr:ext cx="2590800" cy="428625"/>
    <xdr:pic>
      <xdr:nvPicPr>
        <xdr:cNvPr id="0" name="image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838200</xdr:colOff>
      <xdr:row>178</xdr:row>
      <xdr:rowOff>85725</xdr:rowOff>
    </xdr:from>
    <xdr:ext cx="1562100" cy="466725"/>
    <xdr:pic>
      <xdr:nvPicPr>
        <xdr:cNvPr id="0" name="image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914400</xdr:colOff>
      <xdr:row>188</xdr:row>
      <xdr:rowOff>66675</xdr:rowOff>
    </xdr:from>
    <xdr:ext cx="1943100" cy="400050"/>
    <xdr:pic>
      <xdr:nvPicPr>
        <xdr:cNvPr id="0" name="image6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</xdr:colOff>
      <xdr:row>190</xdr:row>
      <xdr:rowOff>38100</xdr:rowOff>
    </xdr:from>
    <xdr:ext cx="1876425" cy="542925"/>
    <xdr:pic>
      <xdr:nvPicPr>
        <xdr:cNvPr id="0" name="image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197</xdr:row>
      <xdr:rowOff>9525</xdr:rowOff>
    </xdr:from>
    <xdr:ext cx="1666875" cy="228600"/>
    <xdr:pic>
      <xdr:nvPicPr>
        <xdr:cNvPr id="0" name="image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28575</xdr:colOff>
      <xdr:row>178</xdr:row>
      <xdr:rowOff>104775</xdr:rowOff>
    </xdr:from>
    <xdr:ext cx="1771650" cy="361950"/>
    <xdr:pic>
      <xdr:nvPicPr>
        <xdr:cNvPr id="0" name="image13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28575</xdr:colOff>
      <xdr:row>184</xdr:row>
      <xdr:rowOff>0</xdr:rowOff>
    </xdr:from>
    <xdr:ext cx="914400" cy="381000"/>
    <xdr:pic>
      <xdr:nvPicPr>
        <xdr:cNvPr id="0" name="image20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28575</xdr:colOff>
      <xdr:row>186</xdr:row>
      <xdr:rowOff>180975</xdr:rowOff>
    </xdr:from>
    <xdr:ext cx="1209675" cy="400050"/>
    <xdr:pic>
      <xdr:nvPicPr>
        <xdr:cNvPr id="0" name="image15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28575</xdr:colOff>
      <xdr:row>189</xdr:row>
      <xdr:rowOff>95250</xdr:rowOff>
    </xdr:from>
    <xdr:ext cx="1085850" cy="409575"/>
    <xdr:pic>
      <xdr:nvPicPr>
        <xdr:cNvPr id="0" name="image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28575</xdr:colOff>
      <xdr:row>192</xdr:row>
      <xdr:rowOff>133350</xdr:rowOff>
    </xdr:from>
    <xdr:ext cx="2286000" cy="295275"/>
    <xdr:pic>
      <xdr:nvPicPr>
        <xdr:cNvPr id="0" name="image18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19050</xdr:colOff>
      <xdr:row>195</xdr:row>
      <xdr:rowOff>123825</xdr:rowOff>
    </xdr:from>
    <xdr:ext cx="2114550" cy="323850"/>
    <xdr:pic>
      <xdr:nvPicPr>
        <xdr:cNvPr id="0" name="image22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142875</xdr:colOff>
      <xdr:row>133</xdr:row>
      <xdr:rowOff>47625</xdr:rowOff>
    </xdr:from>
    <xdr:ext cx="2628900" cy="971550"/>
    <xdr:pic>
      <xdr:nvPicPr>
        <xdr:cNvPr id="0" name="image14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3.57"/>
    <col customWidth="1" min="3" max="3" width="14.86"/>
    <col customWidth="1" min="4" max="4" width="16.86"/>
    <col customWidth="1" min="5" max="5" width="28.57"/>
    <col customWidth="1" min="6" max="6" width="15.29"/>
    <col customWidth="1" min="7" max="7" width="14.14"/>
    <col customWidth="1" min="8" max="8" width="12.57"/>
    <col customWidth="1" min="9" max="9" width="14.57"/>
    <col customWidth="1" min="10" max="12" width="8.71"/>
    <col customWidth="1" min="13" max="13" width="9.57"/>
    <col customWidth="1" min="14" max="14" width="8.71"/>
    <col customWidth="1" min="15" max="15" width="27.29"/>
    <col customWidth="1" min="16" max="16" width="11.86"/>
    <col customWidth="1" min="17" max="26" width="8.71"/>
  </cols>
  <sheetData>
    <row r="1">
      <c r="A1" s="1"/>
      <c r="B1" s="1"/>
      <c r="C1" s="1"/>
    </row>
    <row r="2">
      <c r="A2" s="1" t="s">
        <v>0</v>
      </c>
      <c r="B2" s="1"/>
      <c r="C2" s="1"/>
    </row>
    <row r="3">
      <c r="A3" s="1" t="s">
        <v>1</v>
      </c>
      <c r="B3" s="1"/>
      <c r="C3" s="1"/>
    </row>
    <row r="4">
      <c r="A4" s="1"/>
      <c r="B4" s="1"/>
      <c r="C4" s="1"/>
    </row>
    <row r="5">
      <c r="A5" s="2" t="s">
        <v>2</v>
      </c>
      <c r="B5" s="3"/>
      <c r="C5" s="3"/>
      <c r="D5" s="3"/>
      <c r="E5" s="4"/>
    </row>
    <row r="6">
      <c r="A6" s="5" t="s">
        <v>3</v>
      </c>
      <c r="B6" s="5" t="s">
        <v>4</v>
      </c>
      <c r="C6" s="5" t="s">
        <v>5</v>
      </c>
      <c r="D6" s="5" t="s">
        <v>6</v>
      </c>
      <c r="E6" s="5" t="s">
        <v>5</v>
      </c>
    </row>
    <row r="7">
      <c r="A7" s="6" t="s">
        <v>7</v>
      </c>
      <c r="B7" s="6">
        <v>0.0035</v>
      </c>
      <c r="C7" s="6"/>
      <c r="D7" s="6"/>
      <c r="E7" s="6"/>
    </row>
    <row r="8">
      <c r="A8" s="6" t="s">
        <v>8</v>
      </c>
      <c r="B8" s="6">
        <v>0.0034</v>
      </c>
      <c r="C8" s="6"/>
      <c r="D8" s="6"/>
      <c r="E8" s="6"/>
    </row>
    <row r="9">
      <c r="A9" s="6" t="s">
        <v>9</v>
      </c>
      <c r="B9" s="6">
        <v>0.47</v>
      </c>
      <c r="C9" s="6"/>
      <c r="D9" s="6"/>
      <c r="E9" s="6"/>
    </row>
    <row r="10">
      <c r="A10" s="6" t="s">
        <v>10</v>
      </c>
      <c r="B10" s="6">
        <v>0.45</v>
      </c>
      <c r="C10" s="6"/>
      <c r="D10" s="6"/>
      <c r="E10" s="6"/>
    </row>
    <row r="11">
      <c r="A11" s="6" t="s">
        <v>11</v>
      </c>
      <c r="B11" s="6">
        <v>1.1E-4</v>
      </c>
      <c r="C11" s="6"/>
      <c r="D11" s="6"/>
      <c r="E11" s="6"/>
    </row>
    <row r="12">
      <c r="A12" s="6" t="s">
        <v>12</v>
      </c>
      <c r="B12" s="6">
        <v>1.0E-4</v>
      </c>
      <c r="C12" s="6"/>
      <c r="D12" s="6"/>
      <c r="E12" s="6"/>
    </row>
    <row r="13">
      <c r="A13" s="6" t="s">
        <v>13</v>
      </c>
      <c r="B13" s="6">
        <v>400.0</v>
      </c>
      <c r="C13" s="6" t="s">
        <v>14</v>
      </c>
      <c r="D13" s="6"/>
      <c r="E13" s="6"/>
    </row>
    <row r="14">
      <c r="A14" s="6" t="s">
        <v>15</v>
      </c>
      <c r="B14" s="6">
        <v>400.0</v>
      </c>
      <c r="C14" s="6" t="s">
        <v>14</v>
      </c>
      <c r="D14" s="6"/>
      <c r="E14" s="6"/>
    </row>
    <row r="15">
      <c r="A15" s="6" t="s">
        <v>16</v>
      </c>
      <c r="B15" s="6">
        <v>0.1</v>
      </c>
      <c r="C15" s="6" t="s">
        <v>17</v>
      </c>
      <c r="D15" s="6">
        <f>B15/100</f>
        <v>0.001</v>
      </c>
      <c r="E15" s="6" t="s">
        <v>18</v>
      </c>
    </row>
    <row r="16">
      <c r="A16" s="6" t="s">
        <v>19</v>
      </c>
      <c r="B16" s="6">
        <v>0.04</v>
      </c>
      <c r="C16" s="6"/>
      <c r="D16" s="6"/>
      <c r="E16" s="6"/>
    </row>
    <row r="17">
      <c r="A17" s="6" t="s">
        <v>20</v>
      </c>
      <c r="B17" s="6">
        <v>56.0</v>
      </c>
      <c r="C17" s="6" t="s">
        <v>21</v>
      </c>
      <c r="D17" s="6">
        <v>0.056</v>
      </c>
      <c r="E17" s="6" t="s">
        <v>14</v>
      </c>
    </row>
    <row r="18">
      <c r="A18" s="6" t="s">
        <v>22</v>
      </c>
      <c r="B18" s="6">
        <v>8.0</v>
      </c>
      <c r="C18" s="6" t="s">
        <v>23</v>
      </c>
      <c r="D18" s="6"/>
      <c r="E18" s="6"/>
    </row>
    <row r="19">
      <c r="A19" s="6" t="s">
        <v>24</v>
      </c>
      <c r="B19" s="6">
        <v>400.0</v>
      </c>
      <c r="C19" s="6" t="s">
        <v>25</v>
      </c>
      <c r="D19" s="6"/>
      <c r="E19" s="6"/>
    </row>
    <row r="20">
      <c r="A20" s="6" t="s">
        <v>26</v>
      </c>
      <c r="B20" s="6">
        <v>8.0</v>
      </c>
      <c r="C20" s="6" t="s">
        <v>27</v>
      </c>
      <c r="D20" s="6"/>
      <c r="E20" s="6"/>
    </row>
    <row r="21" ht="15.75" customHeight="1">
      <c r="A21" s="6" t="s">
        <v>28</v>
      </c>
      <c r="B21" s="6">
        <v>1.0</v>
      </c>
      <c r="C21" s="6"/>
      <c r="D21" s="6"/>
      <c r="E21" s="6"/>
    </row>
    <row r="22" ht="15.75" customHeight="1">
      <c r="A22" s="6" t="s">
        <v>29</v>
      </c>
      <c r="B22" s="6">
        <v>3.3</v>
      </c>
      <c r="C22" s="6"/>
      <c r="D22" s="6"/>
      <c r="E22" s="6"/>
    </row>
    <row r="23" ht="15.75" customHeight="1">
      <c r="A23" s="1"/>
      <c r="B23" s="1"/>
      <c r="C23" s="1"/>
      <c r="D23" s="1"/>
      <c r="E23" s="1"/>
    </row>
    <row r="24" ht="15.75" customHeight="1">
      <c r="A24" s="7" t="s">
        <v>30</v>
      </c>
      <c r="B24" s="8"/>
      <c r="C24" s="8"/>
      <c r="D24" s="8"/>
      <c r="E24" s="8"/>
      <c r="F24" s="8"/>
      <c r="G24" s="9"/>
    </row>
    <row r="25" ht="15.75" customHeight="1">
      <c r="A25" s="1"/>
      <c r="B25" s="1"/>
      <c r="C25" s="1"/>
    </row>
    <row r="26" ht="15.75" customHeight="1">
      <c r="A26" s="6" t="s">
        <v>31</v>
      </c>
      <c r="B26" s="10">
        <f>((B20^B22)*(B16^2/(3600*D15*B21)))^(1/(B22-2))</f>
        <v>0.5174367384</v>
      </c>
      <c r="C26" s="6" t="s">
        <v>32</v>
      </c>
      <c r="D26" s="11">
        <f>B26*1000/60</f>
        <v>8.623945641</v>
      </c>
      <c r="E26" s="6" t="s">
        <v>33</v>
      </c>
    </row>
    <row r="27" ht="15.75" customHeight="1">
      <c r="A27" s="1"/>
      <c r="B27" s="12"/>
      <c r="C27" s="1"/>
    </row>
    <row r="28" ht="15.75" customHeight="1">
      <c r="A28" s="1"/>
      <c r="B28" s="12"/>
      <c r="C28" s="1"/>
    </row>
    <row r="29" ht="15.75" customHeight="1">
      <c r="A29" s="6" t="s">
        <v>34</v>
      </c>
      <c r="B29" s="10">
        <f>B26/B11</f>
        <v>4703.970349</v>
      </c>
      <c r="C29" s="6" t="s">
        <v>14</v>
      </c>
    </row>
    <row r="30" ht="15.75" customHeight="1">
      <c r="A30" s="1"/>
      <c r="B30" s="12"/>
      <c r="C30" s="1"/>
    </row>
    <row r="31" ht="15.75" customHeight="1">
      <c r="A31" s="1"/>
      <c r="B31" s="12"/>
      <c r="C31" s="1"/>
    </row>
    <row r="32" ht="15.75" customHeight="1">
      <c r="A32" s="6" t="s">
        <v>35</v>
      </c>
      <c r="B32" s="13">
        <v>400.0</v>
      </c>
      <c r="C32" s="6" t="s">
        <v>14</v>
      </c>
    </row>
    <row r="33" ht="15.75" customHeight="1">
      <c r="A33" s="1"/>
      <c r="B33" s="12"/>
      <c r="C33" s="1"/>
    </row>
    <row r="34" ht="15.75" customHeight="1">
      <c r="A34" s="1"/>
      <c r="B34" s="12"/>
      <c r="C34" s="1"/>
    </row>
    <row r="35" ht="15.75" customHeight="1">
      <c r="A35" s="6" t="s">
        <v>36</v>
      </c>
      <c r="B35" s="10">
        <f>D26</f>
        <v>8.623945641</v>
      </c>
      <c r="C35" s="6" t="s">
        <v>33</v>
      </c>
    </row>
    <row r="36" ht="15.75" customHeight="1">
      <c r="A36" s="1"/>
      <c r="B36" s="1"/>
      <c r="C36" s="1"/>
    </row>
    <row r="37" ht="15.75" customHeight="1">
      <c r="A37" s="7" t="s">
        <v>37</v>
      </c>
      <c r="B37" s="8"/>
      <c r="C37" s="8"/>
      <c r="D37" s="8"/>
      <c r="E37" s="8"/>
      <c r="F37" s="8"/>
      <c r="G37" s="9"/>
      <c r="H37" s="14"/>
    </row>
    <row r="38" ht="15.75" customHeight="1">
      <c r="A38" s="15"/>
      <c r="B38" s="15"/>
      <c r="C38" s="15"/>
      <c r="D38" s="15"/>
      <c r="E38" s="15"/>
    </row>
    <row r="39" ht="15.75" customHeight="1">
      <c r="A39" s="16"/>
      <c r="B39" s="17" t="s">
        <v>38</v>
      </c>
      <c r="C39" s="3"/>
      <c r="D39" s="4"/>
      <c r="E39" s="18" t="s">
        <v>39</v>
      </c>
      <c r="F39" s="3"/>
      <c r="G39" s="4"/>
    </row>
    <row r="40" ht="15.75" customHeight="1">
      <c r="A40" s="19" t="s">
        <v>40</v>
      </c>
      <c r="B40" s="20">
        <v>100.0</v>
      </c>
      <c r="C40" s="3"/>
      <c r="D40" s="4"/>
      <c r="E40" s="20">
        <v>100.0</v>
      </c>
      <c r="F40" s="3"/>
      <c r="G40" s="4"/>
    </row>
    <row r="41" ht="15.75" customHeight="1">
      <c r="A41" s="19" t="s">
        <v>41</v>
      </c>
      <c r="B41" s="20">
        <v>0.056</v>
      </c>
      <c r="C41" s="3"/>
      <c r="D41" s="4"/>
      <c r="E41" s="20">
        <v>0.056</v>
      </c>
      <c r="F41" s="3"/>
      <c r="G41" s="4"/>
    </row>
    <row r="42" ht="15.75" customHeight="1">
      <c r="A42" s="21"/>
      <c r="B42" s="21"/>
      <c r="C42" s="21"/>
      <c r="D42" s="21"/>
      <c r="E42" s="15"/>
    </row>
    <row r="43" ht="15.75" customHeight="1">
      <c r="A43" s="19" t="s">
        <v>42</v>
      </c>
      <c r="B43" s="22" t="s">
        <v>43</v>
      </c>
      <c r="C43" s="22" t="s">
        <v>44</v>
      </c>
      <c r="D43" s="22" t="s">
        <v>45</v>
      </c>
      <c r="E43" s="22" t="s">
        <v>43</v>
      </c>
      <c r="F43" s="22" t="s">
        <v>44</v>
      </c>
      <c r="G43" s="22" t="s">
        <v>45</v>
      </c>
    </row>
    <row r="44" ht="15.75" customHeight="1">
      <c r="A44" s="19">
        <v>1.0</v>
      </c>
      <c r="B44" s="11">
        <f>B40</f>
        <v>100</v>
      </c>
      <c r="C44" s="11">
        <f t="shared" ref="C44:C46" si="1">B44-((($B$7*(B44^$B$9))+($B$11*B44)-$B$41)/($B$7*$B$9*(B44^($B$9-1))+$B$11))</f>
        <v>157.3146174</v>
      </c>
      <c r="D44" s="11">
        <f t="shared" ref="D44:D46" si="2">ABS(B44-C44)</f>
        <v>57.31461739</v>
      </c>
      <c r="E44" s="11">
        <f>E40</f>
        <v>100</v>
      </c>
      <c r="F44" s="11">
        <f t="shared" ref="F44:F46" si="3">E44-((($B$8*(E44^$B$10))+($B$12*E44)-$E$41)/($B$8*$B$10*(E44^($B$10-1))+$B$12))</f>
        <v>185.733985</v>
      </c>
      <c r="G44" s="11">
        <f t="shared" ref="G44:G46" si="4">ABS(E44-F44)</f>
        <v>85.733985</v>
      </c>
    </row>
    <row r="45" ht="15.75" customHeight="1">
      <c r="A45" s="19">
        <v>2.0</v>
      </c>
      <c r="B45" s="11">
        <f t="shared" ref="B45:B46" si="5">C44</f>
        <v>157.3146174</v>
      </c>
      <c r="C45" s="11">
        <f t="shared" si="1"/>
        <v>161.7033457</v>
      </c>
      <c r="D45" s="11">
        <f t="shared" si="2"/>
        <v>4.388728292</v>
      </c>
      <c r="E45" s="11">
        <f t="shared" ref="E45:E46" si="6">F44</f>
        <v>185.733985</v>
      </c>
      <c r="F45" s="11">
        <f t="shared" si="3"/>
        <v>195.0769705</v>
      </c>
      <c r="G45" s="11">
        <f t="shared" si="4"/>
        <v>9.342985531</v>
      </c>
    </row>
    <row r="46" ht="15.75" customHeight="1">
      <c r="A46" s="19">
        <v>3.0</v>
      </c>
      <c r="B46" s="23">
        <f t="shared" si="5"/>
        <v>161.7033457</v>
      </c>
      <c r="C46" s="11">
        <f t="shared" si="1"/>
        <v>161.7196542</v>
      </c>
      <c r="D46" s="11">
        <f t="shared" si="2"/>
        <v>0.01630849014</v>
      </c>
      <c r="E46" s="23">
        <f t="shared" si="6"/>
        <v>195.0769705</v>
      </c>
      <c r="F46" s="11">
        <f t="shared" si="3"/>
        <v>195.1361203</v>
      </c>
      <c r="G46" s="11">
        <f t="shared" si="4"/>
        <v>0.05914980161</v>
      </c>
    </row>
    <row r="47" ht="15.75" customHeight="1">
      <c r="A47" s="1"/>
      <c r="B47" s="24"/>
      <c r="C47" s="11"/>
      <c r="D47" s="11"/>
    </row>
    <row r="48" ht="15.75" customHeight="1">
      <c r="A48" s="7" t="s">
        <v>46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9"/>
    </row>
    <row r="49" ht="15.75" customHeight="1">
      <c r="A49" s="15"/>
      <c r="B49" s="15"/>
      <c r="C49" s="15"/>
      <c r="D49" s="15"/>
      <c r="E49" s="15"/>
      <c r="F49" s="15"/>
      <c r="G49" s="15"/>
    </row>
    <row r="50" ht="15.75" customHeight="1">
      <c r="A50" s="25" t="s">
        <v>47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4"/>
    </row>
    <row r="51" ht="15.75" customHeight="1">
      <c r="A51" s="26" t="s">
        <v>48</v>
      </c>
      <c r="B51" s="27">
        <f>((B52^2*$B$16^2)/($D$15*$B$21*3600))^(1/$B$22)</f>
        <v>0.06467983939</v>
      </c>
      <c r="C51" s="1"/>
      <c r="D51" s="28" t="s">
        <v>49</v>
      </c>
      <c r="E51" s="29"/>
      <c r="F51" s="30"/>
      <c r="G51" s="28" t="s">
        <v>50</v>
      </c>
      <c r="H51" s="29"/>
      <c r="I51" s="30"/>
      <c r="J51" s="28" t="s">
        <v>51</v>
      </c>
      <c r="K51" s="29"/>
      <c r="L51" s="30"/>
      <c r="M51" s="1"/>
      <c r="N51" s="1"/>
    </row>
    <row r="52" ht="15.75" customHeight="1">
      <c r="A52" s="19" t="s">
        <v>52</v>
      </c>
      <c r="B52" s="31">
        <f>B53*60/1000</f>
        <v>0.51744</v>
      </c>
      <c r="C52" s="1"/>
      <c r="D52" s="6" t="s">
        <v>53</v>
      </c>
      <c r="E52" s="6" t="s">
        <v>45</v>
      </c>
      <c r="F52" s="6" t="s">
        <v>54</v>
      </c>
      <c r="G52" s="6" t="s">
        <v>55</v>
      </c>
      <c r="H52" s="6" t="s">
        <v>45</v>
      </c>
      <c r="I52" s="32" t="s">
        <v>56</v>
      </c>
      <c r="J52" s="6" t="s">
        <v>57</v>
      </c>
      <c r="K52" s="6" t="s">
        <v>58</v>
      </c>
      <c r="L52" s="6" t="s">
        <v>59</v>
      </c>
      <c r="M52" s="1"/>
      <c r="N52" s="1"/>
    </row>
    <row r="53" ht="15.75" customHeight="1">
      <c r="A53" s="19" t="s">
        <v>60</v>
      </c>
      <c r="B53" s="6">
        <v>8.624</v>
      </c>
      <c r="C53" s="1"/>
      <c r="D53" s="11">
        <f>(5*(B51*$B$32)/B52)</f>
        <v>249.9993792</v>
      </c>
      <c r="E53" s="11">
        <f>((B52*D53)-(0.77*B51*$B$32)-(B54*$B$8*(D53^$B$10)*$B$32)-(($B$12*D53*$B$32)/(1+B55)))/(B52-((B54*$B$10*$B$8*$B$32)/(D53^(1-$B$10)))-(($B$12*$B$32)/(1+B55)))</f>
        <v>194.7464699</v>
      </c>
      <c r="F53" s="11">
        <f t="shared" ref="F53:F58" si="7">D53-E53</f>
        <v>55.25290933</v>
      </c>
      <c r="G53" s="11">
        <f>(5*(B51*B57))/B52</f>
        <v>124.9996896</v>
      </c>
      <c r="H53" s="33">
        <f>((B52*G53)-(0.77*B51*B57)-(B54*B58*(G53^$B$10)*B57)-((B59*G53*B57)/(1+J53)))/(B52-((B54*$B$10*B58*B57)/(G53^(1-$B$10)))-((B59*B57)/(1+J53)))</f>
        <v>100.0115112</v>
      </c>
      <c r="I53" s="11">
        <f t="shared" ref="I53:I58" si="8">G53-H53</f>
        <v>24.98817845</v>
      </c>
      <c r="J53" s="34">
        <v>0.89</v>
      </c>
      <c r="K53" s="6">
        <f>(LN(2)/((LN(D56))-LN(G56)))</f>
        <v>0.8860291991</v>
      </c>
      <c r="L53" s="6">
        <f t="shared" ref="L53:L54" si="9">J53-K53</f>
        <v>0.003970800941</v>
      </c>
      <c r="M53" s="1"/>
      <c r="N53" s="1"/>
    </row>
    <row r="54" ht="15.75" customHeight="1">
      <c r="A54" s="19" t="s">
        <v>61</v>
      </c>
      <c r="B54" s="31">
        <f>($B$10+B55*(1-$B$10)+1)/((1+$B$10)*(1+B55))</f>
        <v>0.7077175698</v>
      </c>
      <c r="C54" s="1"/>
      <c r="D54" s="11">
        <f t="shared" ref="D54:D58" si="10">F53</f>
        <v>55.25290933</v>
      </c>
      <c r="E54" s="11">
        <f>((B52*D54)-(0.77*B51*$B$32)-(B54*$B$8*(D54^$B$10)*$B$32)-(($B$12*D54*$B$32)/(1+B55)))/(B52-((B54*$B$10*$B$8*$B$32)/(D54^(1-$B$10)))-(($B$12*$B$32)/(1+B55)))</f>
        <v>3.667470059</v>
      </c>
      <c r="F54" s="11">
        <f t="shared" si="7"/>
        <v>51.58543927</v>
      </c>
      <c r="G54" s="11">
        <f t="shared" ref="G54:G58" si="11">I53</f>
        <v>24.98817845</v>
      </c>
      <c r="H54" s="33">
        <f>((B52*G54)-(0.77*B51*B57)-(B54*B58*(G54^$B$10)*B57)-((B59*G54*B57)/(1+J53)))/(B52-((B54*$B$10*B58*B57)/(G54^(1-$B$10)))-((B59*B57)/(1+J53)))</f>
        <v>1.397246196</v>
      </c>
      <c r="I54" s="11">
        <f t="shared" si="8"/>
        <v>23.59093226</v>
      </c>
      <c r="J54" s="35">
        <f>K53</f>
        <v>0.8860291991</v>
      </c>
      <c r="K54" s="31">
        <f>(LN(2)/((LN(D58))-LN(G58)))</f>
        <v>0.8860291996</v>
      </c>
      <c r="L54" s="31">
        <f t="shared" si="9"/>
        <v>-0.0000000005727096575</v>
      </c>
      <c r="M54" s="1"/>
      <c r="N54" s="1"/>
    </row>
    <row r="55" ht="15.75" customHeight="1">
      <c r="A55" s="19" t="s">
        <v>62</v>
      </c>
      <c r="B55" s="6">
        <v>0.89</v>
      </c>
      <c r="C55" s="1"/>
      <c r="D55" s="11">
        <f t="shared" si="10"/>
        <v>51.58543927</v>
      </c>
      <c r="E55" s="11">
        <f>((B52*D55)-(0.77*B51*$B$32)-(B54*$B$8*(D55^$B$10)*$B$32)-(($B$12*D55*$B$32)/(1+B55)))/(B52-((B54*$B$10*$B$8*$B$32)/(D55^(1-$B$10)))-(($B$12*$B$32)/(1+B55)))</f>
        <v>0.00740002293</v>
      </c>
      <c r="F55" s="11">
        <f t="shared" si="7"/>
        <v>51.57803925</v>
      </c>
      <c r="G55" s="11">
        <f t="shared" si="11"/>
        <v>23.59093226</v>
      </c>
      <c r="H55" s="33">
        <f>((B52*G55)-(0.77*B51*B57)-(B54*B58*(G55^$B$10)*B57)-((B59*G55*B57)/(1+J53)))/(B52-((B54*$B$10*B58*B57)/(G55^(1-$B$10)))-((B59*B57)/(1+J53)))</f>
        <v>0.001741066705</v>
      </c>
      <c r="I55" s="11">
        <f t="shared" si="8"/>
        <v>23.58919119</v>
      </c>
      <c r="J55" s="1"/>
      <c r="K55" s="1"/>
      <c r="L55" s="1"/>
    </row>
    <row r="56" ht="15.75" customHeight="1">
      <c r="A56" s="19" t="s">
        <v>63</v>
      </c>
      <c r="B56" s="6">
        <f>($B$10+J54*(1-$B$10)+1)/((1+$B$10)*(1+J54))</f>
        <v>0.7084089905</v>
      </c>
      <c r="C56" s="1"/>
      <c r="D56" s="11">
        <f t="shared" si="10"/>
        <v>51.57803925</v>
      </c>
      <c r="E56" s="11">
        <f>((B52*D56)-(0.77*B51*$B$32)-(B54*$B$8*(D56^$B$10)*$B$32)-(($B$12*D56*$B$32)/(1+B55)))/(B52-((B54*$B$10*$B$8*$B$32)/(D56^(1-$B$10)))-(($B$12*$B$32)/(1+B55)))</f>
        <v>0.00000003235580464</v>
      </c>
      <c r="F56" s="11">
        <f t="shared" si="7"/>
        <v>51.57803922</v>
      </c>
      <c r="G56" s="11">
        <f t="shared" si="11"/>
        <v>23.58919119</v>
      </c>
      <c r="H56" s="33">
        <f>((B52*G56)-(0.77*B51*B57)-(B54*B58*(G56^$B$10)*B57)-((B59*G56*B57)/(1+J53)))/(B52-((B54*$B$10*B58*B57)/(G56^(1-$B$10)))-((B59*B57)/(1+J53)))</f>
        <v>0.000000002869657212</v>
      </c>
      <c r="I56" s="11">
        <f t="shared" si="8"/>
        <v>23.58919119</v>
      </c>
      <c r="J56" s="1"/>
      <c r="K56" s="1"/>
      <c r="L56" s="1"/>
    </row>
    <row r="57" ht="15.75" customHeight="1">
      <c r="A57" s="19" t="s">
        <v>64</v>
      </c>
      <c r="B57" s="6">
        <v>200.0</v>
      </c>
      <c r="C57" s="1"/>
      <c r="D57" s="11">
        <f t="shared" si="10"/>
        <v>51.57803922</v>
      </c>
      <c r="E57" s="11">
        <f>((B52*D57)-(0.77*B51*$B$32)-(B54*$B$8*(D57^$B$10)*$B$32)-(($B$12*D57*$B$32)/(1+B55)))/(B52-((B54*$B$10*$B$8*$B$32)/(D57^(1-$B$10)))-(($B$12*$B$32)/(1+B55)))</f>
        <v>0</v>
      </c>
      <c r="F57" s="11">
        <f t="shared" si="7"/>
        <v>51.57803922</v>
      </c>
      <c r="G57" s="11">
        <f t="shared" si="11"/>
        <v>23.58919119</v>
      </c>
      <c r="H57" s="33">
        <f>((B52*G57)-(0.77*B51*B57)-(B54*B58*(G57^$B$10)*B57)-((B59*G57*B57)/(1+J53)))/(B52-((B54*$B$10*B58*B57)/(G57^(1-$B$10)))-((B59*B57)/(1+J53)))</f>
        <v>0</v>
      </c>
      <c r="I57" s="11">
        <f t="shared" si="8"/>
        <v>23.58919119</v>
      </c>
    </row>
    <row r="58" ht="15.75" customHeight="1">
      <c r="A58" s="19" t="s">
        <v>65</v>
      </c>
      <c r="B58" s="6">
        <v>0.0034</v>
      </c>
      <c r="C58" s="1"/>
      <c r="D58" s="10">
        <f t="shared" si="10"/>
        <v>51.57803922</v>
      </c>
      <c r="E58" s="11">
        <f>((B52*D58)-(0.77*B51*$B$32)-(B54*$B$8*(D58^$B$10)*$B$32)-(($B$12*D58*$B$32)/(1+B55)))/(B52-((B54*$B$10*$B$8*$B$32)/(D58^(1-$B$10)))-(($B$12*$B$32)/(1+B55)))</f>
        <v>0</v>
      </c>
      <c r="F58" s="11">
        <f t="shared" si="7"/>
        <v>51.57803922</v>
      </c>
      <c r="G58" s="10">
        <f t="shared" si="11"/>
        <v>23.58919119</v>
      </c>
      <c r="H58" s="33">
        <f>((B52*G58)-(0.77*B51*B57)-(B54*B58*(G58^$B$10)*B57)-((B59*G58*B57)/(1+J53)))/(B52-((B54*$B$10*B58*B57)/(G58^(1-$B$10)))-((B59*B57)/(1+J53)))</f>
        <v>0</v>
      </c>
      <c r="I58" s="11">
        <f t="shared" si="8"/>
        <v>23.58919119</v>
      </c>
    </row>
    <row r="59" ht="15.75" customHeight="1">
      <c r="A59" s="19" t="s">
        <v>66</v>
      </c>
      <c r="B59" s="6">
        <v>1.0E-4</v>
      </c>
      <c r="C59" s="1"/>
    </row>
    <row r="60" ht="15.75" customHeight="1">
      <c r="A60" s="21"/>
      <c r="B60" s="1"/>
      <c r="C60" s="1"/>
    </row>
    <row r="61" ht="15.75" customHeight="1"/>
    <row r="62" ht="15.75" customHeight="1"/>
    <row r="63" ht="15.75" customHeight="1"/>
    <row r="64" ht="15.75" customHeight="1"/>
    <row r="65" ht="15.75" customHeight="1">
      <c r="A65" s="25" t="s">
        <v>67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4"/>
    </row>
    <row r="66" ht="15.75" customHeight="1">
      <c r="A66" s="26" t="s">
        <v>48</v>
      </c>
      <c r="B66" s="27">
        <f>((B67^2*$B$16^2)/($D$15*$B$21*3600))^(1/$B$22)</f>
        <v>0.04648265289</v>
      </c>
      <c r="C66" s="1"/>
      <c r="D66" s="28" t="s">
        <v>49</v>
      </c>
      <c r="E66" s="29"/>
      <c r="F66" s="30"/>
      <c r="G66" s="28" t="s">
        <v>50</v>
      </c>
      <c r="H66" s="29"/>
      <c r="I66" s="30"/>
      <c r="J66" s="28" t="s">
        <v>51</v>
      </c>
      <c r="K66" s="29"/>
      <c r="L66" s="30"/>
      <c r="M66" s="1"/>
      <c r="N66" s="1"/>
    </row>
    <row r="67" ht="15.75" customHeight="1">
      <c r="A67" s="19" t="s">
        <v>52</v>
      </c>
      <c r="B67" s="31">
        <f>B68*60/1000</f>
        <v>0.3</v>
      </c>
      <c r="C67" s="1"/>
      <c r="D67" s="6" t="s">
        <v>53</v>
      </c>
      <c r="E67" s="6" t="s">
        <v>45</v>
      </c>
      <c r="F67" s="6" t="s">
        <v>54</v>
      </c>
      <c r="G67" s="6" t="s">
        <v>55</v>
      </c>
      <c r="H67" s="6" t="s">
        <v>45</v>
      </c>
      <c r="I67" s="32" t="s">
        <v>56</v>
      </c>
      <c r="J67" s="6" t="s">
        <v>57</v>
      </c>
      <c r="K67" s="6" t="s">
        <v>58</v>
      </c>
      <c r="L67" s="6"/>
      <c r="M67" s="1"/>
      <c r="N67" s="1"/>
    </row>
    <row r="68" ht="15.75" customHeight="1">
      <c r="A68" s="19" t="s">
        <v>60</v>
      </c>
      <c r="B68" s="6">
        <v>5.0</v>
      </c>
      <c r="C68" s="1"/>
      <c r="D68" s="11">
        <f>(5*(B66*$B$32)/B67)</f>
        <v>309.8843526</v>
      </c>
      <c r="E68" s="11">
        <f>((B67*D68)-(0.77*B66*$B$32)-(B69*$B$8*(D68^$B$10)*$B$32)-(($B$12*D68*$B$32)/(1+B70)))/(B67-((B69*$B$10*$B$8*$B$32)/(D68^(1-$B$10)))-(($B$12*$B$32)/(1+B70)))</f>
        <v>227.9149067</v>
      </c>
      <c r="F68" s="11">
        <f t="shared" ref="F68:F73" si="12">D68-E68</f>
        <v>81.96944593</v>
      </c>
      <c r="G68" s="11">
        <f>(5*(B66*B72))/B67</f>
        <v>154.9421763</v>
      </c>
      <c r="H68" s="33">
        <f>((B67*G68)-(0.77*B66*B72)-(B69*B73*(G68^$B$10)*B72)-((B74*G68*B72)/(1+J68)))/(B67-((B69*$B$10*B73*B72)/(G68^(1-$B$10)))-((B74*B72)/(1+J68)))</f>
        <v>119.6819597</v>
      </c>
      <c r="I68" s="11">
        <f t="shared" ref="I68:I73" si="13">G68-H68</f>
        <v>35.26021665</v>
      </c>
      <c r="J68" s="34">
        <v>0.88</v>
      </c>
      <c r="K68" s="6">
        <f>(LN(2)/((LN(D71))-LN(G71)))</f>
        <v>0.8284888128</v>
      </c>
      <c r="L68" s="6">
        <f t="shared" ref="L68:L69" si="14">J68-K68</f>
        <v>0.05151118718</v>
      </c>
      <c r="M68" s="1"/>
      <c r="N68" s="1"/>
    </row>
    <row r="69" ht="15.75" customHeight="1">
      <c r="A69" s="19" t="s">
        <v>68</v>
      </c>
      <c r="B69" s="31">
        <f>($B$10+B70*(1-$B$10)+1)/((1+$B$10)*(1+B70))</f>
        <v>0.7094644167</v>
      </c>
      <c r="C69" s="1"/>
      <c r="D69" s="11">
        <f t="shared" ref="D69:D73" si="15">F68</f>
        <v>81.96944593</v>
      </c>
      <c r="E69" s="11">
        <f>((B67*D69)-(0.77*B66*$B$32)-(B69*$B$8*(D69^$B$10)*$B$32)-(($B$12*D69*$B$32)/(1+B70)))/(B67-((B69*$B$10*$B$8*$B$32)/(D69^(1-$B$10)))-(($B$12*$B$32)/(1+B70)))</f>
        <v>6.334440003</v>
      </c>
      <c r="F69" s="11">
        <f t="shared" si="12"/>
        <v>75.63500592</v>
      </c>
      <c r="G69" s="11">
        <f t="shared" ref="G69:G73" si="16">I68</f>
        <v>35.26021665</v>
      </c>
      <c r="H69" s="33">
        <f>((B67*G69)-(0.77*B66*B72)-(B69*B73*(G69^$B$10)*B72)-((B74*G69*B72)/(1+J68)))/(B67-((B69*$B$10*B73*B72)/(G69^(1-$B$10)))-((B74*B72)/(1+J68)))</f>
        <v>2.501683267</v>
      </c>
      <c r="I69" s="11">
        <f t="shared" si="13"/>
        <v>32.75853338</v>
      </c>
      <c r="J69" s="35">
        <f>K68</f>
        <v>0.8284888128</v>
      </c>
      <c r="K69" s="31">
        <f>(LN(2)/((LN(D73))-LN(G73)))</f>
        <v>0.8284888158</v>
      </c>
      <c r="L69" s="31">
        <f t="shared" si="14"/>
        <v>-0.000000002972604496</v>
      </c>
      <c r="M69" s="1"/>
      <c r="N69" s="1"/>
    </row>
    <row r="70" ht="15.75" customHeight="1">
      <c r="A70" s="19" t="s">
        <v>62</v>
      </c>
      <c r="B70" s="6">
        <v>0.88</v>
      </c>
      <c r="C70" s="1"/>
      <c r="D70" s="11">
        <f t="shared" si="15"/>
        <v>75.63500592</v>
      </c>
      <c r="E70" s="11">
        <f>((B67*D70)-(0.77*B66*$B$32)-(B69*$B$8*(D70^$B$10)*$B$32)-(($B$12*D70*$B$32)/(1+B70)))/(B67-((B69*$B$10*$B$8*$B$32)/(D70^(1-$B$10)))-(($B$12*$B$32)/(1+B70)))</f>
        <v>0.02262755464</v>
      </c>
      <c r="F70" s="11">
        <f t="shared" si="12"/>
        <v>75.61237837</v>
      </c>
      <c r="G70" s="11">
        <f t="shared" si="16"/>
        <v>32.75853338</v>
      </c>
      <c r="H70" s="33">
        <f>((B67*G70)-(0.77*B66*B72)-(B69*B73*(G70^$B$10)*B72)-((B74*G70*B72)/(1+J68)))/(B67-((B69*$B$10*B73*B72)/(G70^(1-$B$10)))-((B74*B72)/(1+J68)))</f>
        <v>0.006022002188</v>
      </c>
      <c r="I70" s="11">
        <f t="shared" si="13"/>
        <v>32.75251138</v>
      </c>
      <c r="J70" s="1"/>
      <c r="K70" s="1"/>
      <c r="L70" s="1"/>
    </row>
    <row r="71" ht="15.75" customHeight="1">
      <c r="A71" s="19" t="s">
        <v>69</v>
      </c>
      <c r="B71" s="6">
        <f>($B$10+J69*(1-$B$10)+1)/((1+$B$10)*(1+J69))</f>
        <v>0.7187653367</v>
      </c>
      <c r="C71" s="1"/>
      <c r="D71" s="11">
        <f t="shared" si="15"/>
        <v>75.61237837</v>
      </c>
      <c r="E71" s="11">
        <f>((B67*D71)-(0.77*B66*$B$32)-(B69*$B$8*(D71^$B$10)*$B$32)-(($B$12*D71*$B$32)/(1+B70)))/(B67-((B69*$B$10*$B$8*$B$32)/(D71^(1-$B$10)))-(($B$12*$B$32)/(1+B70)))</f>
        <v>0.0000003139384278</v>
      </c>
      <c r="F71" s="11">
        <f t="shared" si="12"/>
        <v>75.61237806</v>
      </c>
      <c r="G71" s="11">
        <f t="shared" si="16"/>
        <v>32.75251138</v>
      </c>
      <c r="H71" s="33">
        <f>((B67*G71)-(0.77*B66*B72)-(B69*B73*(G71^$B$10)*B72)-((B74*G71*B72)/(1+J68)))/(B67-((B69*$B$10*B73*B72)/(G71^(1-$B$10)))-((B74*B72)/(1+J68)))</f>
        <v>0.00000003766842075</v>
      </c>
      <c r="I71" s="11">
        <f t="shared" si="13"/>
        <v>32.75251134</v>
      </c>
      <c r="J71" s="1"/>
      <c r="K71" s="1"/>
      <c r="L71" s="1"/>
    </row>
    <row r="72" ht="15.75" customHeight="1">
      <c r="A72" s="19" t="s">
        <v>64</v>
      </c>
      <c r="B72" s="6">
        <v>200.0</v>
      </c>
      <c r="C72" s="1"/>
      <c r="D72" s="11">
        <f t="shared" si="15"/>
        <v>75.61237806</v>
      </c>
      <c r="E72" s="11">
        <f>((B67*D72)-(0.77*B66*$B$32)-(B69*$B$8*(D72^$B$10)*$B$32)-(($B$12*D72*$B$32)/(1+B70)))/(B67-((B69*$B$10*$B$8*$B$32)/(D72^(1-$B$10)))-(($B$12*$B$32)/(1+B70)))</f>
        <v>0</v>
      </c>
      <c r="F72" s="11">
        <f t="shared" si="12"/>
        <v>75.61237806</v>
      </c>
      <c r="G72" s="11">
        <f t="shared" si="16"/>
        <v>32.75251134</v>
      </c>
      <c r="H72" s="33">
        <f>((B67*G72)-(0.77*B66*B72)-(B69*B73*(G72^$B$10)*B72)-((B74*G72*B72)/(1+J68)))/(B67-((B69*$B$10*B73*B72)/(G72^(1-$B$10)))-((B74*B72)/(1+J68)))</f>
        <v>0</v>
      </c>
      <c r="I72" s="11">
        <f t="shared" si="13"/>
        <v>32.75251134</v>
      </c>
    </row>
    <row r="73" ht="15.75" customHeight="1">
      <c r="A73" s="19" t="s">
        <v>65</v>
      </c>
      <c r="B73" s="6">
        <v>0.0034</v>
      </c>
      <c r="C73" s="1"/>
      <c r="D73" s="10">
        <f t="shared" si="15"/>
        <v>75.61237806</v>
      </c>
      <c r="E73" s="11">
        <f>((B67*D73)-(0.77*B66*$B$32)-(B69*$B$8*(D73^$B$10)*$B$32)-(($B$12*D73*$B$32)/(1+B70)))/(B67-((B69*$B$10*$B$8*$B$32)/(D73^(1-$B$10)))-(($B$12*$B$32)/(1+B70)))</f>
        <v>0</v>
      </c>
      <c r="F73" s="11">
        <f t="shared" si="12"/>
        <v>75.61237806</v>
      </c>
      <c r="G73" s="10">
        <f t="shared" si="16"/>
        <v>32.75251134</v>
      </c>
      <c r="H73" s="33">
        <f>((B67*G73)-(0.77*B66*B72)-(B69*B73*(G73^$B$10)*B72)-((B74*G73*B72)/(1+J68)))/(B67-((B69*$B$10*B73*B72)/(G73^(1-$B$10)))-((B74*B72)/(1+J68)))</f>
        <v>0</v>
      </c>
      <c r="I73" s="11">
        <f t="shared" si="13"/>
        <v>32.75251134</v>
      </c>
    </row>
    <row r="74" ht="15.75" customHeight="1">
      <c r="A74" s="19" t="s">
        <v>66</v>
      </c>
      <c r="B74" s="6">
        <v>1.0E-4</v>
      </c>
      <c r="C74" s="1"/>
    </row>
    <row r="75" ht="15.75" customHeight="1">
      <c r="A75" s="1"/>
      <c r="B75" s="1"/>
      <c r="C75" s="1"/>
    </row>
    <row r="76" ht="15.75" customHeight="1">
      <c r="A76" s="25" t="s">
        <v>70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4"/>
    </row>
    <row r="77" ht="15.75" customHeight="1">
      <c r="A77" s="26" t="s">
        <v>48</v>
      </c>
      <c r="B77" s="27">
        <f>((B78^2*$B$16^2)/($D$15*$B$21*3600))^(1/$B$22)</f>
        <v>0.0341064972</v>
      </c>
      <c r="C77" s="1"/>
      <c r="D77" s="28" t="s">
        <v>49</v>
      </c>
      <c r="E77" s="29"/>
      <c r="F77" s="30"/>
      <c r="G77" s="28" t="s">
        <v>50</v>
      </c>
      <c r="H77" s="29"/>
      <c r="I77" s="30"/>
      <c r="J77" s="28" t="s">
        <v>51</v>
      </c>
      <c r="K77" s="29"/>
      <c r="L77" s="30"/>
      <c r="M77" s="1"/>
      <c r="N77" s="1"/>
    </row>
    <row r="78" ht="15.75" customHeight="1">
      <c r="A78" s="19" t="s">
        <v>52</v>
      </c>
      <c r="B78" s="31">
        <f>B79*60/1000</f>
        <v>0.18</v>
      </c>
      <c r="C78" s="1"/>
      <c r="D78" s="6" t="s">
        <v>53</v>
      </c>
      <c r="E78" s="6" t="s">
        <v>45</v>
      </c>
      <c r="F78" s="6" t="s">
        <v>54</v>
      </c>
      <c r="G78" s="6" t="s">
        <v>55</v>
      </c>
      <c r="H78" s="6" t="s">
        <v>45</v>
      </c>
      <c r="I78" s="32" t="s">
        <v>56</v>
      </c>
      <c r="J78" s="6" t="s">
        <v>57</v>
      </c>
      <c r="K78" s="6" t="s">
        <v>58</v>
      </c>
      <c r="L78" s="6"/>
      <c r="M78" s="1"/>
      <c r="N78" s="1"/>
    </row>
    <row r="79" ht="15.75" customHeight="1">
      <c r="A79" s="19" t="s">
        <v>60</v>
      </c>
      <c r="B79" s="6">
        <v>3.0</v>
      </c>
      <c r="C79" s="1"/>
      <c r="D79" s="11">
        <f>(5*(B77*$B$32)/B78)</f>
        <v>378.96108</v>
      </c>
      <c r="E79" s="11">
        <f>((B78*D79)-(0.77*B77*$B$32)-(B80*$B$8*(D79^$B$10)*$B$32)-(($B$12*D79*$B$32)/(1+B81)))/(B78-((B80*$B$10*$B$8*$B$32)/(D79^(1-$B$10)))-(($B$12*$B$32)/(1+B81)))</f>
        <v>242.5543676</v>
      </c>
      <c r="F79" s="11">
        <f t="shared" ref="F79:F84" si="17">D79-E79</f>
        <v>136.4067124</v>
      </c>
      <c r="G79" s="11">
        <f>(5*(B77*B83))/B78</f>
        <v>189.48054</v>
      </c>
      <c r="H79" s="33">
        <f>((B78*G79)-(0.77*B77*B83)-(B80*B84*(G79^$B$10)*B83)-((B85*G79*B83)/(1+J79)))/(B78-((B80*$B$10*B84*B83)/(G79^(1-$B$10)))-((B85*B83)/(1+J79)))</f>
        <v>135.9779674</v>
      </c>
      <c r="I79" s="11">
        <f t="shared" ref="I79:I84" si="18">G79-H79</f>
        <v>53.50257255</v>
      </c>
      <c r="J79" s="34">
        <v>0.62</v>
      </c>
      <c r="K79" s="6">
        <f>(LN(2)/((LN(D82))-LN(G82)))</f>
        <v>0.7329371288</v>
      </c>
      <c r="L79" s="6">
        <f t="shared" ref="L79:L80" si="19">J79-K79</f>
        <v>-0.1129371288</v>
      </c>
      <c r="M79" s="1"/>
      <c r="N79" s="1"/>
    </row>
    <row r="80" ht="15.75" customHeight="1">
      <c r="A80" s="19" t="s">
        <v>71</v>
      </c>
      <c r="B80" s="31">
        <f>($B$10+B81*(1-$B$10)+1)/((1+$B$10)*(1+B81))</f>
        <v>0.7624521073</v>
      </c>
      <c r="C80" s="1"/>
      <c r="D80" s="11">
        <f t="shared" ref="D80:D84" si="20">F79</f>
        <v>136.4067124</v>
      </c>
      <c r="E80" s="11">
        <f>((B78*D80)-(0.77*B77*$B$32)-(B80*$B$8*(D80^$B$10)*$B$32)-(($B$12*D80*$B$32)/(1+B81)))/(B78-((B80*$B$10*$B$8*$B$32)/(D80^(1-$B$10)))-(($B$12*$B$32)/(1+B81)))</f>
        <v>9.742297681</v>
      </c>
      <c r="F80" s="11">
        <f t="shared" si="17"/>
        <v>126.6644147</v>
      </c>
      <c r="G80" s="11">
        <f t="shared" ref="G80:G84" si="21">I79</f>
        <v>53.50257255</v>
      </c>
      <c r="H80" s="33">
        <f>((B78*G80)-(0.77*B77*B83)-(B80*B84*(G80^$B$10)*B83)-((B85*G80*B83)/(1+J79)))/(B78-((B80*$B$10*B84*B83)/(G80^(1-$B$10)))-((B85*B83)/(1+J79)))</f>
        <v>4.306827591</v>
      </c>
      <c r="I80" s="11">
        <f t="shared" si="18"/>
        <v>49.19574496</v>
      </c>
      <c r="J80" s="35">
        <f>K79</f>
        <v>0.7329371288</v>
      </c>
      <c r="K80" s="31">
        <f>(LN(2)/((LN(D84))-LN(G84)))</f>
        <v>0.7329371319</v>
      </c>
      <c r="L80" s="31">
        <f t="shared" si="19"/>
        <v>-0.000000003103730606</v>
      </c>
      <c r="M80" s="1"/>
      <c r="N80" s="1"/>
    </row>
    <row r="81" ht="15.75" customHeight="1">
      <c r="A81" s="19" t="s">
        <v>62</v>
      </c>
      <c r="B81" s="6">
        <v>0.62</v>
      </c>
      <c r="C81" s="1"/>
      <c r="D81" s="11">
        <f t="shared" si="20"/>
        <v>126.6644147</v>
      </c>
      <c r="E81" s="11">
        <f>((B78*D81)-(0.77*B77*$B$32)-(B80*$B$8*(D81^$B$10)*$B$32)-(($B$12*D81*$B$32)/(1+B81)))/(B78-((B80*$B$10*$B$8*$B$32)/(D81^(1-$B$10)))-(($B$12*$B$32)/(1+B81)))</f>
        <v>0.05058684009</v>
      </c>
      <c r="F81" s="11">
        <f t="shared" si="17"/>
        <v>126.6138278</v>
      </c>
      <c r="G81" s="11">
        <f t="shared" si="21"/>
        <v>49.19574496</v>
      </c>
      <c r="H81" s="33">
        <f>((B78*G81)-(0.77*B77*B83)-(B80*B84*(G81^$B$10)*B83)-((B85*G81*B83)/(1+J79)))/(B78-((B80*$B$10*B84*B83)/(G81^(1-$B$10)))-((B85*B83)/(1+J79)))</f>
        <v>0.0185460386</v>
      </c>
      <c r="I81" s="11">
        <f t="shared" si="18"/>
        <v>49.17719892</v>
      </c>
      <c r="J81" s="1"/>
      <c r="K81" s="1"/>
      <c r="L81" s="1"/>
    </row>
    <row r="82" ht="15.75" customHeight="1">
      <c r="A82" s="19" t="s">
        <v>72</v>
      </c>
      <c r="B82" s="6">
        <f>($B$10+J80*(1-$B$10)+1)/((1+$B$10)*(1+J80))</f>
        <v>0.7374824013</v>
      </c>
      <c r="C82" s="1"/>
      <c r="D82" s="11">
        <f t="shared" si="20"/>
        <v>126.6138278</v>
      </c>
      <c r="E82" s="11">
        <f>((B78*D82)-(0.77*B77*$B$32)-(B80*$B$8*(D82^$B$10)*$B$32)-(($B$12*D82*$B$32)/(1+B81)))/(B78-((B80*$B$10*$B$8*$B$32)/(D82^(1-$B$10)))-(($B$12*$B$32)/(1+B81)))</f>
        <v>0.000001473355341</v>
      </c>
      <c r="F82" s="11">
        <f t="shared" si="17"/>
        <v>126.6138264</v>
      </c>
      <c r="G82" s="11">
        <f t="shared" si="21"/>
        <v>49.17719892</v>
      </c>
      <c r="H82" s="33">
        <f>((B78*G82)-(0.77*B77*B83)-(B80*B84*(G82^$B$10)*B83)-((B85*G82*B83)/(1+J79)))/(B78-((B80*$B$10*B84*B83)/(G82^(1-$B$10)))-((B85*B83)/(1+J79)))</f>
        <v>0.0000003753130753</v>
      </c>
      <c r="I82" s="11">
        <f t="shared" si="18"/>
        <v>49.17719855</v>
      </c>
      <c r="J82" s="1"/>
      <c r="K82" s="1"/>
      <c r="L82" s="1"/>
    </row>
    <row r="83" ht="15.75" customHeight="1">
      <c r="A83" s="19" t="s">
        <v>64</v>
      </c>
      <c r="B83" s="6">
        <v>200.0</v>
      </c>
      <c r="C83" s="1"/>
      <c r="D83" s="11">
        <f t="shared" si="20"/>
        <v>126.6138264</v>
      </c>
      <c r="E83" s="11">
        <f>((B78*D83)-(0.77*B77*$B$32)-(B80*$B$8*(D83^$B$10)*$B$32)-(($B$12*D83*$B$32)/(1+B81)))/(B78-((B80*$B$10*$B$8*$B$32)/(D83^(1-$B$10)))-(($B$12*$B$32)/(1+B81)))</f>
        <v>0</v>
      </c>
      <c r="F83" s="11">
        <f t="shared" si="17"/>
        <v>126.6138264</v>
      </c>
      <c r="G83" s="11">
        <f t="shared" si="21"/>
        <v>49.17719855</v>
      </c>
      <c r="H83" s="33">
        <f>((B78*G83)-(0.77*B77*B83)-(B80*B84*(G83^$B$10)*B83)-((B85*G83*B83)/(1+J79)))/(B78-((B80*$B$10*B84*B83)/(G83^(1-$B$10)))-((B85*B83)/(1+J79)))</f>
        <v>0</v>
      </c>
      <c r="I83" s="11">
        <f t="shared" si="18"/>
        <v>49.17719855</v>
      </c>
    </row>
    <row r="84" ht="15.75" customHeight="1">
      <c r="A84" s="19" t="s">
        <v>65</v>
      </c>
      <c r="B84" s="6">
        <v>0.0034</v>
      </c>
      <c r="C84" s="1"/>
      <c r="D84" s="10">
        <f t="shared" si="20"/>
        <v>126.6138264</v>
      </c>
      <c r="E84" s="11">
        <f>((B78*D84)-(0.77*B77*$B$32)-(B80*$B$8*(D84^$B$10)*$B$32)-(($B$12*D84*$B$32)/(1+B81)))/(B78-((B80*$B$10*$B$8*$B$32)/(D84^(1-$B$10)))-(($B$12*$B$32)/(1+B81)))</f>
        <v>0</v>
      </c>
      <c r="F84" s="11">
        <f t="shared" si="17"/>
        <v>126.6138264</v>
      </c>
      <c r="G84" s="10">
        <f t="shared" si="21"/>
        <v>49.17719855</v>
      </c>
      <c r="H84" s="33">
        <f>((B78*G84)-(0.77*B77*B83)-(B80*B84*(G84^$B$10)*B83)-((B85*G84*B83)/(1+J79)))/(B78-((B80*$B$10*B84*B83)/(G84^(1-$B$10)))-((B85*B83)/(1+J79)))</f>
        <v>0</v>
      </c>
      <c r="I84" s="11">
        <f t="shared" si="18"/>
        <v>49.17719855</v>
      </c>
    </row>
    <row r="85" ht="15.75" customHeight="1">
      <c r="A85" s="19" t="s">
        <v>66</v>
      </c>
      <c r="B85" s="6">
        <v>1.0E-4</v>
      </c>
      <c r="C85" s="1"/>
    </row>
    <row r="86" ht="15.75" customHeight="1">
      <c r="A86" s="1"/>
      <c r="B86" s="1"/>
      <c r="C86" s="1"/>
    </row>
    <row r="87" ht="15.75" customHeight="1">
      <c r="A87" s="25" t="s">
        <v>73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4"/>
    </row>
    <row r="88" ht="15.75" customHeight="1">
      <c r="A88" s="26" t="s">
        <v>48</v>
      </c>
      <c r="B88" s="27">
        <f>((B89^2*$B$16^2)/($D$15*$B$21*3600))^(1/$B$22)</f>
        <v>0.02747623</v>
      </c>
      <c r="C88" s="1"/>
      <c r="D88" s="28" t="s">
        <v>49</v>
      </c>
      <c r="E88" s="29"/>
      <c r="F88" s="30"/>
      <c r="G88" s="28" t="s">
        <v>50</v>
      </c>
      <c r="H88" s="29"/>
      <c r="I88" s="30"/>
      <c r="J88" s="28" t="s">
        <v>51</v>
      </c>
      <c r="K88" s="29"/>
      <c r="L88" s="30"/>
      <c r="M88" s="1"/>
      <c r="N88" s="1"/>
    </row>
    <row r="89" ht="15.75" customHeight="1">
      <c r="A89" s="19" t="s">
        <v>52</v>
      </c>
      <c r="B89" s="31">
        <f>B90*60/1000</f>
        <v>0.126</v>
      </c>
      <c r="C89" s="1"/>
      <c r="D89" s="6" t="s">
        <v>53</v>
      </c>
      <c r="E89" s="6" t="s">
        <v>45</v>
      </c>
      <c r="F89" s="6" t="s">
        <v>54</v>
      </c>
      <c r="G89" s="6" t="s">
        <v>55</v>
      </c>
      <c r="H89" s="6" t="s">
        <v>45</v>
      </c>
      <c r="I89" s="32" t="s">
        <v>56</v>
      </c>
      <c r="J89" s="6" t="s">
        <v>57</v>
      </c>
      <c r="K89" s="6" t="s">
        <v>58</v>
      </c>
      <c r="L89" s="6"/>
      <c r="M89" s="1"/>
      <c r="N89" s="1"/>
    </row>
    <row r="90" ht="15.75" customHeight="1">
      <c r="A90" s="19" t="s">
        <v>60</v>
      </c>
      <c r="B90" s="6">
        <v>2.1</v>
      </c>
      <c r="C90" s="1"/>
      <c r="D90" s="11">
        <f>(5*(B88*$B$32)/B89)</f>
        <v>436.1306348</v>
      </c>
      <c r="E90" s="11">
        <f>((B89*D90)-(0.77*B88*$B$32)-(B91*$B$8*(D90^$B$10)*$B$32)-(($B$12*D90*$B$32)/(1+B92)))/(B89-((B91*$B$10*$B$8*$B$32)/(D90^(1-$B$10)))-(($B$12*$B$32)/(1+B92)))</f>
        <v>234.2528663</v>
      </c>
      <c r="F90" s="11">
        <f t="shared" ref="F90:F95" si="22">D90-E90</f>
        <v>201.8777686</v>
      </c>
      <c r="G90" s="11">
        <f>(5*(B88*B94))/B89</f>
        <v>218.0653174</v>
      </c>
      <c r="H90" s="33">
        <f>((B89*G90)-(0.77*B88*B94)-(B91*B95*(G90^$B$10)*B94)-((B96*G90*B94)/(1+J90)))/(B89-((B91*$B$10*B95*B94)/(G90^(1-$B$10)))-((B96*B94)/(1+J90)))</f>
        <v>145.0815227</v>
      </c>
      <c r="I90" s="11">
        <f t="shared" ref="I90:I95" si="23">G90-H90</f>
        <v>72.98379471</v>
      </c>
      <c r="J90" s="34">
        <v>0.639</v>
      </c>
      <c r="K90" s="6">
        <f>(LN(2)/((LN(D93))-LN(G93)))</f>
        <v>0.6637259967</v>
      </c>
      <c r="L90" s="6">
        <f t="shared" ref="L90:L91" si="24">J90-K90</f>
        <v>-0.02472599666</v>
      </c>
      <c r="M90" s="1"/>
      <c r="N90" s="1"/>
    </row>
    <row r="91" ht="15.75" customHeight="1">
      <c r="A91" s="19" t="s">
        <v>74</v>
      </c>
      <c r="B91" s="31">
        <f>($B$10+B92*(1-$B$10)+1)/((1+$B$10)*(1+B92))</f>
        <v>0.7580105615</v>
      </c>
      <c r="C91" s="1"/>
      <c r="D91" s="11">
        <f t="shared" ref="D91:D95" si="25">F90</f>
        <v>201.8777686</v>
      </c>
      <c r="E91" s="11">
        <f>((B89*D91)-(0.77*B88*$B$32)-(B91*$B$8*(D91^$B$10)*$B$32)-(($B$12*D91*$B$32)/(1+B92)))/(B89-((B91*$B$10*$B$8*$B$32)/(D91^(1-$B$10)))-(($B$12*$B$32)/(1+B92)))</f>
        <v>10.63095048</v>
      </c>
      <c r="F91" s="11">
        <f t="shared" si="22"/>
        <v>191.2468181</v>
      </c>
      <c r="G91" s="11">
        <f t="shared" ref="G91:G95" si="26">I90</f>
        <v>72.98379471</v>
      </c>
      <c r="H91" s="33">
        <f>((B89*G91)-(0.77*B88*B94)-(B91*B95*(G91^$B$10)*B94)-((B96*G91*B94)/(1+J90)))/(B89-((B91*$B$10*B95*B94)/(G91^(1-$B$10)))-((B96*B94)/(1+J90)))</f>
        <v>5.666599573</v>
      </c>
      <c r="I91" s="11">
        <f t="shared" si="23"/>
        <v>67.31719514</v>
      </c>
      <c r="J91" s="35">
        <f>K90</f>
        <v>0.6637259967</v>
      </c>
      <c r="K91" s="31">
        <f>(LN(2)/((LN(D95))-LN(G95)))</f>
        <v>0.6637259921</v>
      </c>
      <c r="L91" s="31">
        <f t="shared" si="24"/>
        <v>0.000000004537463072</v>
      </c>
      <c r="M91" s="1"/>
      <c r="N91" s="1"/>
    </row>
    <row r="92" ht="15.75" customHeight="1">
      <c r="A92" s="19" t="s">
        <v>62</v>
      </c>
      <c r="B92" s="6">
        <v>0.639</v>
      </c>
      <c r="C92" s="1"/>
      <c r="D92" s="11">
        <f t="shared" si="25"/>
        <v>191.2468181</v>
      </c>
      <c r="E92" s="11">
        <f>((B89*D92)-(0.77*B88*$B$32)-(B91*$B$8*(D92^$B$10)*$B$32)-(($B$12*D92*$B$32)/(1+B92)))/(B89-((B91*$B$10*$B$8*$B$32)/(D92^(1-$B$10)))-(($B$12*$B$32)/(1+B92)))</f>
        <v>0.05228921666</v>
      </c>
      <c r="F92" s="11">
        <f t="shared" si="22"/>
        <v>191.1945289</v>
      </c>
      <c r="G92" s="11">
        <f t="shared" si="26"/>
        <v>67.31719514</v>
      </c>
      <c r="H92" s="33">
        <f>((B89*G92)-(0.77*B88*B94)-(B91*B95*(G92^$B$10)*B94)-((B96*G92*B94)/(1+J90)))/(B89-((B91*$B$10*B95*B94)/(G92^(1-$B$10)))-((B96*B94)/(1+J90)))</f>
        <v>0.03039506326</v>
      </c>
      <c r="I92" s="11">
        <f t="shared" si="23"/>
        <v>67.28680007</v>
      </c>
      <c r="J92" s="1"/>
      <c r="K92" s="1"/>
      <c r="L92" s="1"/>
    </row>
    <row r="93" ht="15.75" customHeight="1">
      <c r="A93" s="19" t="s">
        <v>75</v>
      </c>
      <c r="B93" s="6">
        <f>($B$10+J91*(1-$B$10)+1)/((1+$B$10)*(1+J91))</f>
        <v>0.752382387</v>
      </c>
      <c r="C93" s="1"/>
      <c r="D93" s="11">
        <f t="shared" si="25"/>
        <v>191.1945289</v>
      </c>
      <c r="E93" s="11">
        <f>((B89*D93)-(0.77*B88*$B$32)-(B91*$B$8*(D93^$B$10)*$B$32)-(($B$12*D93*$B$32)/(1+B92)))/(B89-((B91*$B$10*$B$8*$B$32)/(D93^(1-$B$10)))-(($B$12*$B$32)/(1+B92)))</f>
        <v>0.000001338235597</v>
      </c>
      <c r="F93" s="11">
        <f t="shared" si="22"/>
        <v>191.1945275</v>
      </c>
      <c r="G93" s="11">
        <f t="shared" si="26"/>
        <v>67.28680007</v>
      </c>
      <c r="H93" s="33">
        <f>((B89*G93)-(0.77*B88*B94)-(B91*B95*(G93^$B$10)*B94)-((B96*G93*B94)/(1+J90)))/(B89-((B91*$B$10*B95*B94)/(G93^(1-$B$10)))-((B96*B94)/(1+J90)))</f>
        <v>0.0000009513497254</v>
      </c>
      <c r="I93" s="11">
        <f t="shared" si="23"/>
        <v>67.28679912</v>
      </c>
      <c r="J93" s="1"/>
      <c r="K93" s="1"/>
      <c r="L93" s="1"/>
    </row>
    <row r="94" ht="15.75" customHeight="1">
      <c r="A94" s="19" t="s">
        <v>64</v>
      </c>
      <c r="B94" s="6">
        <v>200.0</v>
      </c>
      <c r="C94" s="1"/>
      <c r="D94" s="11">
        <f t="shared" si="25"/>
        <v>191.1945275</v>
      </c>
      <c r="E94" s="11">
        <f>((B89*D94)-(0.77*B88*$B$32)-(B91*$B$8*(D94^$B$10)*$B$32)-(($B$12*D94*$B$32)/(1+B92)))/(B89-((B91*$B$10*$B$8*$B$32)/(D94^(1-$B$10)))-(($B$12*$B$32)/(1+B92)))</f>
        <v>0</v>
      </c>
      <c r="F94" s="11">
        <f t="shared" si="22"/>
        <v>191.1945275</v>
      </c>
      <c r="G94" s="11">
        <f t="shared" si="26"/>
        <v>67.28679912</v>
      </c>
      <c r="H94" s="33">
        <f>((B89*G94)-(0.77*B88*B94)-(B91*B95*(G94^$B$10)*B94)-((B96*G94*B94)/(1+J90)))/(B89-((B91*$B$10*B95*B94)/(G94^(1-$B$10)))-((B96*B94)/(1+J90)))</f>
        <v>0</v>
      </c>
      <c r="I94" s="11">
        <f t="shared" si="23"/>
        <v>67.28679912</v>
      </c>
    </row>
    <row r="95" ht="15.75" customHeight="1">
      <c r="A95" s="19" t="s">
        <v>65</v>
      </c>
      <c r="B95" s="6">
        <v>0.0034</v>
      </c>
      <c r="C95" s="1"/>
      <c r="D95" s="10">
        <f t="shared" si="25"/>
        <v>191.1945275</v>
      </c>
      <c r="E95" s="11">
        <f>((B89*D95)-(0.77*B88*$B$32)-(B91*$B$8*(D95^$B$10)*$B$32)-(($B$12*D95*$B$32)/(1+B92)))/(B89-((B91*$B$10*$B$8*$B$32)/(D95^(1-$B$10)))-(($B$12*$B$32)/(1+B92)))</f>
        <v>0</v>
      </c>
      <c r="F95" s="11">
        <f t="shared" si="22"/>
        <v>191.1945275</v>
      </c>
      <c r="G95" s="10">
        <f t="shared" si="26"/>
        <v>67.28679912</v>
      </c>
      <c r="H95" s="33">
        <f>((B89*G95)-(0.77*B88*B94)-(B91*B95*(G95^$B$10)*B94)-((B96*G95*B94)/(1+J90)))/(B89-((B91*$B$10*B95*B94)/(G95^(1-$B$10)))-((B96*B94)/(1+J90)))</f>
        <v>0</v>
      </c>
      <c r="I95" s="11">
        <f t="shared" si="23"/>
        <v>67.28679912</v>
      </c>
    </row>
    <row r="96" ht="15.75" customHeight="1">
      <c r="A96" s="19" t="s">
        <v>66</v>
      </c>
      <c r="B96" s="6">
        <v>1.0E-4</v>
      </c>
      <c r="C96" s="1"/>
    </row>
    <row r="97" ht="15.75" customHeight="1">
      <c r="A97" s="21"/>
      <c r="B97" s="1"/>
      <c r="C97" s="1"/>
    </row>
    <row r="98" ht="15.75" customHeight="1">
      <c r="A98" s="25" t="s">
        <v>76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4"/>
    </row>
    <row r="99" ht="15.75" customHeight="1">
      <c r="A99" s="26" t="s">
        <v>48</v>
      </c>
      <c r="B99" s="27">
        <f>((B100^2*$B$16^2)/($D$15*$B$21*3600))^(1/$B$22)</f>
        <v>0.02502553272</v>
      </c>
      <c r="C99" s="1"/>
      <c r="D99" s="28" t="s">
        <v>49</v>
      </c>
      <c r="E99" s="29"/>
      <c r="F99" s="30"/>
      <c r="G99" s="28" t="s">
        <v>50</v>
      </c>
      <c r="H99" s="29"/>
      <c r="I99" s="30"/>
      <c r="J99" s="28" t="s">
        <v>51</v>
      </c>
      <c r="K99" s="29"/>
      <c r="L99" s="30"/>
      <c r="M99" s="1"/>
      <c r="N99" s="1"/>
    </row>
    <row r="100" ht="15.75" customHeight="1">
      <c r="A100" s="19" t="s">
        <v>52</v>
      </c>
      <c r="B100" s="31">
        <f>B101*60/1000</f>
        <v>0.108</v>
      </c>
      <c r="C100" s="1"/>
      <c r="D100" s="6" t="s">
        <v>53</v>
      </c>
      <c r="E100" s="6" t="s">
        <v>45</v>
      </c>
      <c r="F100" s="6" t="s">
        <v>54</v>
      </c>
      <c r="G100" s="6" t="s">
        <v>55</v>
      </c>
      <c r="H100" s="6" t="s">
        <v>45</v>
      </c>
      <c r="I100" s="32" t="s">
        <v>56</v>
      </c>
      <c r="J100" s="6" t="s">
        <v>57</v>
      </c>
      <c r="K100" s="6" t="s">
        <v>58</v>
      </c>
      <c r="L100" s="6"/>
      <c r="M100" s="1"/>
      <c r="N100" s="1"/>
    </row>
    <row r="101" ht="15.75" customHeight="1">
      <c r="A101" s="19" t="s">
        <v>60</v>
      </c>
      <c r="B101" s="6">
        <v>1.8</v>
      </c>
      <c r="C101" s="1"/>
      <c r="D101" s="11">
        <f>(5*(B99*$B$32)/B100)</f>
        <v>463.4357912</v>
      </c>
      <c r="E101" s="11">
        <f>((B100*D101)-(0.77*B99*$B$32)-(B102*$B$8*(D101^$B$10)*$B$32)-(($B$12*D101*$B$32)/(1+B103)))/(B100-((B102*$B$10*$B$8*$B$32)/(D101^(1-$B$10)))-(($B$12*$B$32)/(1+B103)))</f>
        <v>219.4004142</v>
      </c>
      <c r="F101" s="11">
        <f t="shared" ref="F101:F106" si="27">D101-E101</f>
        <v>244.035377</v>
      </c>
      <c r="G101" s="11">
        <f>(5*(B99*B105))/B100</f>
        <v>231.7178956</v>
      </c>
      <c r="H101" s="33">
        <f>((B100*G101)-(0.77*B99*B105)-(B102*B106*(G101^$B$10)*B105)-((B107*G101*B105)/(1+J101)))/(B100-((B102*$B$10*B106*B105)/(G101^(1-$B$10)))-((B107*B105)/(1+J101)))</f>
        <v>147.3772226</v>
      </c>
      <c r="I101" s="11">
        <f t="shared" ref="I101:I106" si="28">G101-H101</f>
        <v>84.34067303</v>
      </c>
      <c r="J101" s="34">
        <v>0.66</v>
      </c>
      <c r="K101" s="6">
        <f>(LN(2)/((LN(D104))-LN(G104)))</f>
        <v>0.6315521338</v>
      </c>
      <c r="L101" s="6">
        <f t="shared" ref="L101:L102" si="29">J101-K101</f>
        <v>0.02844786616</v>
      </c>
      <c r="M101" s="1"/>
      <c r="N101" s="1"/>
    </row>
    <row r="102" ht="15.75" customHeight="1">
      <c r="A102" s="19" t="s">
        <v>77</v>
      </c>
      <c r="B102" s="31">
        <f>($B$10+B103*(1-$B$10)+1)/((1+$B$10)*(1+B103))</f>
        <v>0.7532197757</v>
      </c>
      <c r="C102" s="1"/>
      <c r="D102" s="11">
        <f t="shared" ref="D102:D106" si="30">F101</f>
        <v>244.035377</v>
      </c>
      <c r="E102" s="11">
        <f>((B100*D102)-(0.77*B99*$B$32)-(B102*$B$8*(D102^$B$10)*$B$32)-(($B$12*D102*$B$32)/(1+B103)))/(B100-((B102*$B$10*$B$8*$B$32)/(D102^(1-$B$10)))-(($B$12*$B$32)/(1+B103)))</f>
        <v>9.935843497</v>
      </c>
      <c r="F102" s="11">
        <f t="shared" si="27"/>
        <v>234.0995335</v>
      </c>
      <c r="G102" s="11">
        <f t="shared" ref="G102:G106" si="31">I101</f>
        <v>84.34067303</v>
      </c>
      <c r="H102" s="33">
        <f>((B100*G102)-(0.77*B99*B105)-(B102*B106*(G102^$B$10)*B105)-((B107*G102*B105)/(1+J101)))/(B100-((B102*$B$10*B106*B105)/(G102^(1-$B$10)))-((B107*B105)/(1+J101)))</f>
        <v>6.201940802</v>
      </c>
      <c r="I102" s="11">
        <f t="shared" si="28"/>
        <v>78.13873223</v>
      </c>
      <c r="J102" s="35">
        <f>K101</f>
        <v>0.6315521338</v>
      </c>
      <c r="K102" s="31">
        <f>(LN(2)/((LN(D106))-LN(G106)))</f>
        <v>0.6315521269</v>
      </c>
      <c r="L102" s="31">
        <f t="shared" si="29"/>
        <v>0.000000006972169397</v>
      </c>
      <c r="M102" s="1"/>
      <c r="N102" s="1"/>
    </row>
    <row r="103" ht="15.75" customHeight="1">
      <c r="A103" s="19" t="s">
        <v>62</v>
      </c>
      <c r="B103" s="6">
        <v>0.66</v>
      </c>
      <c r="C103" s="1"/>
      <c r="D103" s="11">
        <f t="shared" si="30"/>
        <v>234.0995335</v>
      </c>
      <c r="E103" s="11">
        <f>((B100*D103)-(0.77*B99*$B$32)-(B102*$B$8*(D103^$B$10)*$B$32)-(($B$12*D103*$B$32)/(1+B103)))/(B100-((B102*$B$10*$B$8*$B$32)/(D103^(1-$B$10)))-(($B$12*$B$32)/(1+B103)))</f>
        <v>0.04178677409</v>
      </c>
      <c r="F103" s="11">
        <f t="shared" si="27"/>
        <v>234.0577468</v>
      </c>
      <c r="G103" s="11">
        <f t="shared" si="31"/>
        <v>78.13873223</v>
      </c>
      <c r="H103" s="33">
        <f>((B100*G103)-(0.77*B99*B105)-(B102*B106*(G103^$B$10)*B105)-((B107*G103*B105)/(1+J101)))/(B100-((B102*$B$10*B106*B105)/(G103^(1-$B$10)))-((B107*B105)/(1+J101)))</f>
        <v>0.03496945279</v>
      </c>
      <c r="I103" s="11">
        <f t="shared" si="28"/>
        <v>78.10376278</v>
      </c>
      <c r="J103" s="1"/>
      <c r="K103" s="1"/>
      <c r="L103" s="1"/>
    </row>
    <row r="104" ht="15.75" customHeight="1">
      <c r="A104" s="19" t="s">
        <v>78</v>
      </c>
      <c r="B104" s="6">
        <f>($B$10+J102*(1-$B$10)+1)/((1+$B$10)*(1+J102))</f>
        <v>0.7597392887</v>
      </c>
      <c r="C104" s="1"/>
      <c r="D104" s="11">
        <f t="shared" si="30"/>
        <v>234.0577468</v>
      </c>
      <c r="E104" s="11">
        <f>((B100*D104)-(0.77*B99*$B$32)-(B102*$B$8*(D104^$B$10)*$B$32)-(($B$12*D104*$B$32)/(1+B103)))/(B100-((B102*$B$10*$B$8*$B$32)/(D104^(1-$B$10)))-(($B$12*$B$32)/(1+B103)))</f>
        <v>0.000000771727482</v>
      </c>
      <c r="F104" s="11">
        <f t="shared" si="27"/>
        <v>234.057746</v>
      </c>
      <c r="G104" s="11">
        <f t="shared" si="31"/>
        <v>78.10376278</v>
      </c>
      <c r="H104" s="33">
        <f>((B100*G104)-(0.77*B99*B105)-(B102*B106*(G104^$B$10)*B105)-((B107*G104*B105)/(1+J101)))/(B100-((B102*$B$10*B106*B105)/(G104^(1-$B$10)))-((B107*B105)/(1+J101)))</f>
        <v>0.000001203860564</v>
      </c>
      <c r="I104" s="11">
        <f t="shared" si="28"/>
        <v>78.10376158</v>
      </c>
      <c r="J104" s="1"/>
      <c r="K104" s="1"/>
      <c r="L104" s="1"/>
    </row>
    <row r="105" ht="15.75" customHeight="1">
      <c r="A105" s="19" t="s">
        <v>64</v>
      </c>
      <c r="B105" s="6">
        <v>200.0</v>
      </c>
      <c r="C105" s="1"/>
      <c r="D105" s="11">
        <f t="shared" si="30"/>
        <v>234.057746</v>
      </c>
      <c r="E105" s="11">
        <f>((B100*D105)-(0.77*B99*$B$32)-(B102*$B$8*(D105^$B$10)*$B$32)-(($B$12*D105*$B$32)/(1+B103)))/(B100-((B102*$B$10*$B$8*$B$32)/(D105^(1-$B$10)))-(($B$12*$B$32)/(1+B103)))</f>
        <v>0</v>
      </c>
      <c r="F105" s="11">
        <f t="shared" si="27"/>
        <v>234.057746</v>
      </c>
      <c r="G105" s="11">
        <f t="shared" si="31"/>
        <v>78.10376158</v>
      </c>
      <c r="H105" s="33">
        <f>((B100*G105)-(0.77*B99*B105)-(B102*B106*(G105^$B$10)*B105)-((B107*G105*B105)/(1+J101)))/(B100-((B102*$B$10*B106*B105)/(G105^(1-$B$10)))-((B107*B105)/(1+J101)))</f>
        <v>0</v>
      </c>
      <c r="I105" s="11">
        <f t="shared" si="28"/>
        <v>78.10376158</v>
      </c>
    </row>
    <row r="106" ht="15.75" customHeight="1">
      <c r="A106" s="19" t="s">
        <v>65</v>
      </c>
      <c r="B106" s="6">
        <v>0.0034</v>
      </c>
      <c r="C106" s="1"/>
      <c r="D106" s="10">
        <f t="shared" si="30"/>
        <v>234.057746</v>
      </c>
      <c r="E106" s="11">
        <f>((B100*D106)-(0.77*B99*$B$32)-(B102*$B$8*(D106^$B$10)*$B$32)-(($B$12*D106*$B$32)/(1+B103)))/(B100-((B102*$B$10*$B$8*$B$32)/(D106^(1-$B$10)))-(($B$12*$B$32)/(1+B103)))</f>
        <v>0</v>
      </c>
      <c r="F106" s="11">
        <f t="shared" si="27"/>
        <v>234.057746</v>
      </c>
      <c r="G106" s="10">
        <f t="shared" si="31"/>
        <v>78.10376158</v>
      </c>
      <c r="H106" s="33">
        <f>((B100*G106)-(0.77*B99*B105)-(B102*B106*(G106^$B$10)*B105)-((B107*G106*B105)/(1+J101)))/(B100-((B102*$B$10*B106*B105)/(G106^(1-$B$10)))-((B107*B105)/(1+J101)))</f>
        <v>0</v>
      </c>
      <c r="I106" s="11">
        <f t="shared" si="28"/>
        <v>78.10376158</v>
      </c>
    </row>
    <row r="107" ht="15.75" customHeight="1">
      <c r="A107" s="19" t="s">
        <v>66</v>
      </c>
      <c r="B107" s="6">
        <v>1.0E-4</v>
      </c>
      <c r="C107" s="1"/>
    </row>
    <row r="108" ht="15.75" customHeight="1">
      <c r="A108" s="21"/>
      <c r="B108" s="1"/>
      <c r="C108" s="1"/>
    </row>
    <row r="109" ht="15.75" customHeight="1">
      <c r="A109" s="25" t="s">
        <v>79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4"/>
    </row>
    <row r="110" ht="15.75" customHeight="1">
      <c r="A110" s="26" t="s">
        <v>48</v>
      </c>
      <c r="B110" s="27">
        <f>((B111^2*$B$16^2)/($D$15*$B$21*3600))^(1/$B$22)</f>
        <v>0.02240756667</v>
      </c>
      <c r="C110" s="1"/>
      <c r="D110" s="28" t="s">
        <v>49</v>
      </c>
      <c r="E110" s="29"/>
      <c r="F110" s="30"/>
      <c r="G110" s="28" t="s">
        <v>50</v>
      </c>
      <c r="H110" s="29"/>
      <c r="I110" s="30"/>
      <c r="J110" s="28" t="s">
        <v>51</v>
      </c>
      <c r="K110" s="29"/>
      <c r="L110" s="30"/>
      <c r="M110" s="1"/>
      <c r="N110" s="1"/>
    </row>
    <row r="111" ht="15.75" customHeight="1">
      <c r="A111" s="19" t="s">
        <v>52</v>
      </c>
      <c r="B111" s="31">
        <f>B112*60/1000</f>
        <v>0.09</v>
      </c>
      <c r="C111" s="1"/>
      <c r="D111" s="6" t="s">
        <v>53</v>
      </c>
      <c r="E111" s="6" t="s">
        <v>45</v>
      </c>
      <c r="F111" s="6" t="s">
        <v>54</v>
      </c>
      <c r="G111" s="6" t="s">
        <v>55</v>
      </c>
      <c r="H111" s="6" t="s">
        <v>45</v>
      </c>
      <c r="I111" s="32" t="s">
        <v>56</v>
      </c>
      <c r="J111" s="6" t="s">
        <v>57</v>
      </c>
      <c r="K111" s="6" t="s">
        <v>58</v>
      </c>
      <c r="L111" s="6"/>
      <c r="M111" s="1"/>
      <c r="N111" s="1"/>
    </row>
    <row r="112" ht="15.75" customHeight="1">
      <c r="A112" s="19" t="s">
        <v>60</v>
      </c>
      <c r="B112" s="6">
        <v>1.5</v>
      </c>
      <c r="C112" s="1"/>
      <c r="D112" s="11">
        <f>(5*(B110*$B$32)/B111)</f>
        <v>497.9459259</v>
      </c>
      <c r="E112" s="11">
        <f>((B111*D112)-(0.77*B110*$B$32)-(B113*$B$8*(D112^$B$10)*$B$32)-(($B$12*D112*$B$32)/(1+B114)))/(B111-((B113*$B$10*$B$8*$B$32)/(D112^(1-$B$10)))-(($B$12*$B$32)/(1+B114)))</f>
        <v>180.4177624</v>
      </c>
      <c r="F112" s="11">
        <f t="shared" ref="F112:F117" si="32">D112-E112</f>
        <v>317.5281635</v>
      </c>
      <c r="G112" s="11">
        <f>(5*(B110*B116))/B111</f>
        <v>248.972963</v>
      </c>
      <c r="H112" s="33">
        <f>((B111*G112)-(0.77*B110*B116)-(B113*B117*(G112^$B$10)*B116)-((B118*G112*B116)/(1+J112)))/(B111-((B113*$B$10*B117*B116)/(G112^(1-$B$10)))-((B118*B116)/(1+J112)))</f>
        <v>146.9166442</v>
      </c>
      <c r="I112" s="11">
        <f t="shared" ref="I112:I117" si="33">G112-H112</f>
        <v>102.0563187</v>
      </c>
      <c r="J112" s="34">
        <v>0.66</v>
      </c>
      <c r="K112" s="6">
        <f>(LN(2)/((LN(D115))-LN(G115)))</f>
        <v>0.5875792857</v>
      </c>
      <c r="L112" s="6">
        <f t="shared" ref="L112:L113" si="34">J112-K112</f>
        <v>0.07242071434</v>
      </c>
      <c r="M112" s="1"/>
      <c r="N112" s="1"/>
    </row>
    <row r="113" ht="15.75" customHeight="1">
      <c r="A113" s="19" t="s">
        <v>80</v>
      </c>
      <c r="B113" s="31">
        <f>($B$10+B114*(1-$B$10)+1)/((1+$B$10)*(1+B114))</f>
        <v>0.7532197757</v>
      </c>
      <c r="C113" s="1"/>
      <c r="D113" s="11">
        <f t="shared" ref="D113:D117" si="35">F112</f>
        <v>317.5281635</v>
      </c>
      <c r="E113" s="11">
        <f>((B111*D113)-(0.77*B110*$B$32)-(B113*$B$8*(D113^$B$10)*$B$32)-(($B$12*D113*$B$32)/(1+B114)))/(B111-((B113*$B$10*$B$8*$B$32)/(D113^(1-$B$10)))-(($B$12*$B$32)/(1+B114)))</f>
        <v>7.292459425</v>
      </c>
      <c r="F113" s="11">
        <f t="shared" si="32"/>
        <v>310.2357041</v>
      </c>
      <c r="G113" s="11">
        <f t="shared" ref="G113:G117" si="36">I112</f>
        <v>102.0563187</v>
      </c>
      <c r="H113" s="33">
        <f>((B111*G113)-(0.77*B110*B116)-(B113*B117*(G113^$B$10)*B116)-((B118*G113*B116)/(1+J112)))/(B111-((B113*$B$10*B117*B116)/(G113^(1-$B$10)))-((B118*B116)/(1+J112)))</f>
        <v>6.663720352</v>
      </c>
      <c r="I113" s="11">
        <f t="shared" si="33"/>
        <v>95.39259838</v>
      </c>
      <c r="J113" s="35">
        <f>K112</f>
        <v>0.5875792857</v>
      </c>
      <c r="K113" s="31">
        <f>(LN(2)/((LN(D117))-LN(G117)))</f>
        <v>0.587579279</v>
      </c>
      <c r="L113" s="31">
        <f t="shared" si="34"/>
        <v>0.000000006642094319</v>
      </c>
      <c r="M113" s="1"/>
      <c r="N113" s="1"/>
    </row>
    <row r="114" ht="15.75" customHeight="1">
      <c r="A114" s="19" t="s">
        <v>62</v>
      </c>
      <c r="B114" s="6">
        <v>0.66</v>
      </c>
      <c r="C114" s="1"/>
      <c r="D114" s="11">
        <f t="shared" si="35"/>
        <v>310.2357041</v>
      </c>
      <c r="E114" s="11">
        <f>((B111*D114)-(0.77*B110*$B$32)-(B113*$B$8*(D114^$B$10)*$B$32)-(($B$12*D114*$B$32)/(1+B114)))/(B111-((B113*$B$10*$B$8*$B$32)/(D114^(1-$B$10)))-(($B$12*$B$32)/(1+B114)))</f>
        <v>0.01954310453</v>
      </c>
      <c r="F114" s="11">
        <f t="shared" si="32"/>
        <v>310.216161</v>
      </c>
      <c r="G114" s="11">
        <f t="shared" si="36"/>
        <v>95.39259838</v>
      </c>
      <c r="H114" s="33">
        <f>((B111*G114)-(0.77*B110*B116)-(B113*B117*(G114^$B$10)*B116)-((B118*G114*B116)/(1+J112)))/(B111-((B113*$B$10*B117*B116)/(G114^(1-$B$10)))-((B118*B116)/(1+J112)))</f>
        <v>0.03790430227</v>
      </c>
      <c r="I114" s="11">
        <f t="shared" si="33"/>
        <v>95.35469408</v>
      </c>
      <c r="J114" s="1"/>
      <c r="K114" s="1"/>
      <c r="L114" s="1"/>
    </row>
    <row r="115" ht="15.75" customHeight="1">
      <c r="A115" s="19" t="s">
        <v>81</v>
      </c>
      <c r="B115" s="6">
        <f>($B$10+J113*(1-$B$10)+1)/((1+$B$10)*(1+J113))</f>
        <v>0.7702764281</v>
      </c>
      <c r="C115" s="1"/>
      <c r="D115" s="11">
        <f t="shared" si="35"/>
        <v>310.216161</v>
      </c>
      <c r="E115" s="11">
        <f>((B111*D115)-(0.77*B110*$B$32)-(B113*$B$8*(D115^$B$10)*$B$32)-(($B$12*D115*$B$32)/(1+B114)))/(B111-((B113*$B$10*$B$8*$B$32)/(D115^(1-$B$10)))-(($B$12*$B$32)/(1+B114)))</f>
        <v>0.0000001437786495</v>
      </c>
      <c r="F115" s="11">
        <f t="shared" si="32"/>
        <v>310.2161609</v>
      </c>
      <c r="G115" s="11">
        <f t="shared" si="36"/>
        <v>95.35469408</v>
      </c>
      <c r="H115" s="33">
        <f>((B111*G115)-(0.77*B110*B116)-(B113*B117*(G115^$B$10)*B116)-((B118*G115*B116)/(1+J112)))/(B111-((B113*$B$10*B117*B116)/(G115^(1-$B$10)))-((B118*B116)/(1+J112)))</f>
        <v>0.000001315763016</v>
      </c>
      <c r="I115" s="11">
        <f t="shared" si="33"/>
        <v>95.35469277</v>
      </c>
      <c r="J115" s="1"/>
      <c r="K115" s="1"/>
      <c r="L115" s="1"/>
    </row>
    <row r="116" ht="15.75" customHeight="1">
      <c r="A116" s="19" t="s">
        <v>64</v>
      </c>
      <c r="B116" s="6">
        <v>200.0</v>
      </c>
      <c r="C116" s="1"/>
      <c r="D116" s="11">
        <f t="shared" si="35"/>
        <v>310.2161609</v>
      </c>
      <c r="E116" s="11">
        <f>((B111*D116)-(0.77*B110*$B$32)-(B113*$B$8*(D116^$B$10)*$B$32)-(($B$12*D116*$B$32)/(1+B114)))/(B111-((B113*$B$10*$B$8*$B$32)/(D116^(1-$B$10)))-(($B$12*$B$32)/(1+B114)))</f>
        <v>0</v>
      </c>
      <c r="F116" s="11">
        <f t="shared" si="32"/>
        <v>310.2161609</v>
      </c>
      <c r="G116" s="11">
        <f t="shared" si="36"/>
        <v>95.35469277</v>
      </c>
      <c r="H116" s="33">
        <f>((B111*G116)-(0.77*B110*B116)-(B113*B117*(G116^$B$10)*B116)-((B118*G116*B116)/(1+J112)))/(B111-((B113*$B$10*B117*B116)/(G116^(1-$B$10)))-((B118*B116)/(1+J112)))</f>
        <v>0</v>
      </c>
      <c r="I116" s="11">
        <f t="shared" si="33"/>
        <v>95.35469277</v>
      </c>
    </row>
    <row r="117" ht="15.75" customHeight="1">
      <c r="A117" s="19" t="s">
        <v>65</v>
      </c>
      <c r="B117" s="6">
        <v>0.0034</v>
      </c>
      <c r="C117" s="1"/>
      <c r="D117" s="10">
        <f t="shared" si="35"/>
        <v>310.2161609</v>
      </c>
      <c r="E117" s="11">
        <f>((B111*D117)-(0.77*B110*$B$32)-(B113*$B$8*(D117^$B$10)*$B$32)-(($B$12*D117*$B$32)/(1+B114)))/(B111-((B113*$B$10*$B$8*$B$32)/(D117^(1-$B$10)))-(($B$12*$B$32)/(1+B114)))</f>
        <v>0</v>
      </c>
      <c r="F117" s="11">
        <f t="shared" si="32"/>
        <v>310.2161609</v>
      </c>
      <c r="G117" s="10">
        <f t="shared" si="36"/>
        <v>95.35469277</v>
      </c>
      <c r="H117" s="33">
        <f>((B111*G117)-(0.77*B110*B116)-(B113*B117*(G117^$B$10)*B116)-((B118*G117*B116)/(1+J112)))/(B111-((B113*$B$10*B117*B116)/(G117^(1-$B$10)))-((B118*B116)/(1+J112)))</f>
        <v>0</v>
      </c>
      <c r="I117" s="11">
        <f t="shared" si="33"/>
        <v>95.35469277</v>
      </c>
    </row>
    <row r="118" ht="15.75" customHeight="1">
      <c r="A118" s="19" t="s">
        <v>66</v>
      </c>
      <c r="B118" s="6">
        <v>1.0E-4</v>
      </c>
      <c r="C118" s="1"/>
    </row>
    <row r="119" ht="15.75" customHeight="1">
      <c r="A119" s="21"/>
      <c r="B119" s="1"/>
      <c r="C119" s="1"/>
    </row>
    <row r="120" ht="15.75" customHeight="1">
      <c r="A120" s="25" t="s">
        <v>82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4"/>
    </row>
    <row r="121" ht="15.75" customHeight="1">
      <c r="A121" s="26" t="s">
        <v>48</v>
      </c>
      <c r="B121" s="27">
        <f>((B122^2*$B$16^2)/($D$15*$B$21*3600))^(1/$B$22)</f>
        <v>0.01752559301</v>
      </c>
      <c r="C121" s="1"/>
      <c r="D121" s="28" t="s">
        <v>49</v>
      </c>
      <c r="E121" s="29"/>
      <c r="F121" s="30"/>
      <c r="G121" s="28" t="s">
        <v>50</v>
      </c>
      <c r="H121" s="29"/>
      <c r="I121" s="30"/>
      <c r="J121" s="28" t="s">
        <v>51</v>
      </c>
      <c r="K121" s="29"/>
      <c r="L121" s="30"/>
      <c r="M121" s="1"/>
      <c r="N121" s="1"/>
    </row>
    <row r="122" ht="15.75" customHeight="1">
      <c r="A122" s="19" t="s">
        <v>52</v>
      </c>
      <c r="B122" s="31">
        <f>B123*60/1000</f>
        <v>0.06</v>
      </c>
      <c r="C122" s="1"/>
      <c r="D122" s="6" t="s">
        <v>53</v>
      </c>
      <c r="E122" s="6" t="s">
        <v>45</v>
      </c>
      <c r="F122" s="6" t="s">
        <v>54</v>
      </c>
      <c r="G122" s="6" t="s">
        <v>55</v>
      </c>
      <c r="H122" s="6" t="s">
        <v>45</v>
      </c>
      <c r="I122" s="32" t="s">
        <v>56</v>
      </c>
      <c r="J122" s="6" t="s">
        <v>57</v>
      </c>
      <c r="K122" s="6" t="s">
        <v>58</v>
      </c>
      <c r="L122" s="6"/>
      <c r="M122" s="1"/>
      <c r="N122" s="1"/>
    </row>
    <row r="123" ht="15.75" customHeight="1">
      <c r="A123" s="19" t="s">
        <v>60</v>
      </c>
      <c r="B123" s="6">
        <v>1.0</v>
      </c>
      <c r="C123" s="1"/>
      <c r="D123" s="11">
        <f>(5*(B121*$B$32)/B122)</f>
        <v>584.1864337</v>
      </c>
      <c r="E123" s="11">
        <f>((B122*D123)-(0.77*B121*$B$32)-(B124*$B$8*(D123^$B$10)*$B$32)-(($B$12*D123*$B$32)/(1+B125)))/(B122-((B124*$B$10*$B$8*$B$32)/(D123^(1-$B$10)))-(($B$12*$B$32)/(1+B125)))</f>
        <v>-132.9094548</v>
      </c>
      <c r="F123" s="11">
        <f t="shared" ref="F123:F128" si="37">D123-E123</f>
        <v>717.0958884</v>
      </c>
      <c r="G123" s="11">
        <f>(5*(B121*B127))/B122</f>
        <v>292.0932168</v>
      </c>
      <c r="H123" s="33">
        <f>((B122*G123)-(0.77*B121*B127)-(B124*B128*(G123^$B$10)*B127)-((B129*G123*B127)/(1+J123)))/(B122-((B124*$B$10*B128*B127)/(G123^(1-$B$10)))-((B129*B127)/(1+J123)))</f>
        <v>122.5060548</v>
      </c>
      <c r="I123" s="11">
        <f t="shared" ref="I123:I128" si="38">G123-H123</f>
        <v>169.587162</v>
      </c>
      <c r="J123" s="34">
        <v>0.63</v>
      </c>
      <c r="K123" s="6">
        <f>(LN(2)/((LN(D126))-LN(G126)))</f>
        <v>0.4718893727</v>
      </c>
      <c r="L123" s="6">
        <f t="shared" ref="L123:L124" si="39">J123-K123</f>
        <v>0.1581106273</v>
      </c>
      <c r="M123" s="1"/>
      <c r="N123" s="1"/>
    </row>
    <row r="124" ht="15.75" customHeight="1">
      <c r="A124" s="19" t="s">
        <v>83</v>
      </c>
      <c r="B124" s="31">
        <f>($B$10+B125*(1-$B$10)+1)/((1+$B$10)*(1+B125))</f>
        <v>0.7601015443</v>
      </c>
      <c r="C124" s="1"/>
      <c r="D124" s="11">
        <f t="shared" ref="D124:D128" si="40">F123</f>
        <v>717.0958884</v>
      </c>
      <c r="E124" s="11">
        <f>((B122*D124)-(0.77*B121*$B$32)-(B124*$B$8*(D124^$B$10)*$B$32)-(($B$12*D124*$B$32)/(1+B125)))/(B122-((B124*$B$10*$B$8*$B$32)/(D124^(1-$B$10)))-(($B$12*$B$32)/(1+B125)))</f>
        <v>4.54865313</v>
      </c>
      <c r="F124" s="11">
        <f t="shared" si="37"/>
        <v>712.5472353</v>
      </c>
      <c r="G124" s="11">
        <f t="shared" ref="G124:G128" si="41">I123</f>
        <v>169.587162</v>
      </c>
      <c r="H124" s="33">
        <f>((B122*G124)-(0.77*B121*B127)-(B124*B128*(G124^$B$10)*B127)-((B129*G124*B127)/(1+J123)))/(B122-((B124*$B$10*B128*B127)/(G124^(1-$B$10)))-((B129*B127)/(1+J123)))</f>
        <v>5.550351055</v>
      </c>
      <c r="I124" s="11">
        <f t="shared" si="38"/>
        <v>164.036811</v>
      </c>
      <c r="J124" s="35">
        <f>K123</f>
        <v>0.4718893727</v>
      </c>
      <c r="K124" s="31">
        <f>(LN(2)/((LN(D128))-LN(G128)))</f>
        <v>0.4718893721</v>
      </c>
      <c r="L124" s="31">
        <f t="shared" si="39"/>
        <v>0.000000000595817562</v>
      </c>
      <c r="M124" s="1"/>
      <c r="N124" s="1"/>
    </row>
    <row r="125" ht="15.75" customHeight="1">
      <c r="A125" s="19" t="s">
        <v>62</v>
      </c>
      <c r="B125" s="6">
        <v>0.63</v>
      </c>
      <c r="C125" s="1"/>
      <c r="D125" s="11">
        <f t="shared" si="40"/>
        <v>712.5472353</v>
      </c>
      <c r="E125" s="11">
        <f>((B122*D125)-(0.77*B121*$B$32)-(B124*$B$8*(D125^$B$10)*$B$32)-(($B$12*D125*$B$32)/(1+B125)))/(B122-((B124*$B$10*$B$8*$B$32)/(D125^(1-$B$10)))-(($B$12*$B$32)/(1+B125)))</f>
        <v>0.004344488356</v>
      </c>
      <c r="F125" s="11">
        <f t="shared" si="37"/>
        <v>712.5428908</v>
      </c>
      <c r="G125" s="11">
        <f t="shared" si="41"/>
        <v>164.036811</v>
      </c>
      <c r="H125" s="33">
        <f>((B122*G125)-(0.77*B121*B127)-(B124*B128*(G125^$B$10)*B127)-((B129*G125*B127)/(1+J123)))/(B122-((B124*$B$10*B128*B127)/(G125^(1-$B$10)))-((B129*B127)/(1+J123)))</f>
        <v>0.02086235103</v>
      </c>
      <c r="I125" s="11">
        <f t="shared" si="38"/>
        <v>164.0159486</v>
      </c>
      <c r="J125" s="1"/>
      <c r="K125" s="1"/>
      <c r="L125" s="1"/>
    </row>
    <row r="126" ht="15.75" customHeight="1">
      <c r="A126" s="19" t="s">
        <v>84</v>
      </c>
      <c r="B126" s="6">
        <f>($B$10+J124*(1-$B$10)+1)/((1+$B$10)*(1+J124))</f>
        <v>0.8010062051</v>
      </c>
      <c r="C126" s="1"/>
      <c r="D126" s="11">
        <f t="shared" si="40"/>
        <v>712.5428908</v>
      </c>
      <c r="E126" s="11">
        <f>((B122*D126)-(0.77*B121*$B$32)-(B124*$B$8*(D126^$B$10)*$B$32)-(($B$12*D126*$B$32)/(1+B125)))/(B122-((B124*$B$10*$B$8*$B$32)/(D126^(1-$B$10)))-(($B$12*$B$32)/(1+B125)))</f>
        <v>0.000000003989506177</v>
      </c>
      <c r="F126" s="11">
        <f t="shared" si="37"/>
        <v>712.5428908</v>
      </c>
      <c r="G126" s="11">
        <f t="shared" si="41"/>
        <v>164.0159486</v>
      </c>
      <c r="H126" s="33">
        <f>((B122*G126)-(0.77*B121*B127)-(B124*B128*(G126^$B$10)*B127)-((B129*G126*B127)/(1+J123)))/(B122-((B124*$B$10*B128*B127)/(G126^(1-$B$10)))-((B129*B127)/(1+J123)))</f>
        <v>0.0000003051079716</v>
      </c>
      <c r="I126" s="11">
        <f t="shared" si="38"/>
        <v>164.0159483</v>
      </c>
      <c r="J126" s="1"/>
      <c r="K126" s="1"/>
      <c r="L126" s="1"/>
    </row>
    <row r="127" ht="15.75" customHeight="1">
      <c r="A127" s="19" t="s">
        <v>64</v>
      </c>
      <c r="B127" s="6">
        <v>200.0</v>
      </c>
      <c r="C127" s="1"/>
      <c r="D127" s="11">
        <f t="shared" si="40"/>
        <v>712.5428908</v>
      </c>
      <c r="E127" s="11">
        <f>((B122*D127)-(0.77*B121*$B$32)-(B124*$B$8*(D127^$B$10)*$B$32)-(($B$12*D127*$B$32)/(1+B125)))/(B122-((B124*$B$10*$B$8*$B$32)/(D127^(1-$B$10)))-(($B$12*$B$32)/(1+B125)))</f>
        <v>0</v>
      </c>
      <c r="F127" s="11">
        <f t="shared" si="37"/>
        <v>712.5428908</v>
      </c>
      <c r="G127" s="11">
        <f t="shared" si="41"/>
        <v>164.0159483</v>
      </c>
      <c r="H127" s="33">
        <f>((B122*G127)-(0.77*B121*B127)-(B124*B128*(G127^$B$10)*B127)-((B129*G127*B127)/(1+J123)))/(B122-((B124*$B$10*B128*B127)/(G127^(1-$B$10)))-((B129*B127)/(1+J123)))</f>
        <v>0</v>
      </c>
      <c r="I127" s="11">
        <f t="shared" si="38"/>
        <v>164.0159483</v>
      </c>
    </row>
    <row r="128" ht="15.75" customHeight="1">
      <c r="A128" s="19" t="s">
        <v>65</v>
      </c>
      <c r="B128" s="6">
        <v>0.0034</v>
      </c>
      <c r="C128" s="1"/>
      <c r="D128" s="10">
        <f t="shared" si="40"/>
        <v>712.5428908</v>
      </c>
      <c r="E128" s="11">
        <f>((B122*D128)-(0.77*B121*$B$32)-(B124*$B$8*(D128^$B$10)*$B$32)-(($B$12*D128*$B$32)/(1+B125)))/(B122-((B124*$B$10*$B$8*$B$32)/(D128^(1-$B$10)))-(($B$12*$B$32)/(1+B125)))</f>
        <v>0</v>
      </c>
      <c r="F128" s="11">
        <f t="shared" si="37"/>
        <v>712.5428908</v>
      </c>
      <c r="G128" s="10">
        <f t="shared" si="41"/>
        <v>164.0159483</v>
      </c>
      <c r="H128" s="33">
        <f>((B122*G128)-(0.77*B121*B127)-(B124*B128*(G128^$B$10)*B127)-((B129*G128*B127)/(1+J123)))/(B122-((B124*$B$10*B128*B127)/(G128^(1-$B$10)))-((B129*B127)/(1+J123)))</f>
        <v>0</v>
      </c>
      <c r="I128" s="11">
        <f t="shared" si="38"/>
        <v>164.0159483</v>
      </c>
    </row>
    <row r="129" ht="15.75" customHeight="1">
      <c r="A129" s="19" t="s">
        <v>66</v>
      </c>
      <c r="B129" s="6">
        <v>1.0E-4</v>
      </c>
      <c r="C129" s="1"/>
    </row>
    <row r="130" ht="15.75" customHeight="1">
      <c r="A130" s="21"/>
      <c r="B130" s="1"/>
      <c r="C130" s="1"/>
    </row>
    <row r="131" ht="15.75" customHeight="1">
      <c r="A131" s="21"/>
      <c r="B131" s="1"/>
      <c r="C131" s="1"/>
    </row>
    <row r="132" ht="15.75" customHeight="1">
      <c r="A132" s="7" t="s">
        <v>85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9"/>
    </row>
    <row r="133" ht="15.75" customHeight="1">
      <c r="A133" s="21"/>
      <c r="B133" s="1" t="s">
        <v>86</v>
      </c>
      <c r="C133" s="1" t="s">
        <v>87</v>
      </c>
      <c r="D133" s="1" t="s">
        <v>88</v>
      </c>
      <c r="E133" s="1" t="s">
        <v>51</v>
      </c>
      <c r="F133" s="1" t="s">
        <v>89</v>
      </c>
      <c r="G133" s="1" t="s">
        <v>90</v>
      </c>
      <c r="H133" s="1" t="s">
        <v>91</v>
      </c>
      <c r="I133" s="1" t="s">
        <v>92</v>
      </c>
    </row>
    <row r="134" ht="15.75" customHeight="1">
      <c r="A134" s="21"/>
      <c r="B134" s="1">
        <f>B53</f>
        <v>8.624</v>
      </c>
      <c r="C134" s="1">
        <f t="shared" ref="C134:C140" si="42">B134*60/1000</f>
        <v>0.51744</v>
      </c>
      <c r="D134" s="24">
        <f>D44</f>
        <v>57.31461739</v>
      </c>
      <c r="E134" s="36">
        <f>J54</f>
        <v>0.8860291991</v>
      </c>
      <c r="F134" s="36">
        <f t="shared" ref="F134:F140" si="43">$B$14/(D134^E134)</f>
        <v>11.07096581</v>
      </c>
      <c r="G134" s="36">
        <f t="shared" ref="G134:G140" si="44">(((C134^2)*($B$16^2))/(3600*($B$15/100)))^0.3</f>
        <v>0.06647544351</v>
      </c>
      <c r="H134" s="24">
        <f t="shared" ref="H134:H140" si="45">D134+$E$46</f>
        <v>252.3915879</v>
      </c>
      <c r="I134" s="1">
        <f t="shared" ref="I134:I140" si="46">(($D$17*$B$14)/(C134*H134))*100</f>
        <v>17.15193587</v>
      </c>
    </row>
    <row r="135" ht="15.75" customHeight="1">
      <c r="A135" s="21"/>
      <c r="B135" s="1">
        <f>B68</f>
        <v>5</v>
      </c>
      <c r="C135" s="1">
        <f t="shared" si="42"/>
        <v>0.3</v>
      </c>
      <c r="D135" s="24">
        <f>D73</f>
        <v>75.61237806</v>
      </c>
      <c r="E135" s="36">
        <f>J69</f>
        <v>0.8284888128</v>
      </c>
      <c r="F135" s="36">
        <f t="shared" si="43"/>
        <v>11.1087909</v>
      </c>
      <c r="G135" s="36">
        <f t="shared" si="44"/>
        <v>0.04793116637</v>
      </c>
      <c r="H135" s="24">
        <f t="shared" si="45"/>
        <v>270.6893486</v>
      </c>
      <c r="I135" s="1">
        <f t="shared" si="46"/>
        <v>27.58389536</v>
      </c>
    </row>
    <row r="136" ht="15.75" customHeight="1">
      <c r="A136" s="21"/>
      <c r="B136" s="1">
        <f>B79</f>
        <v>3</v>
      </c>
      <c r="C136" s="1">
        <f t="shared" si="42"/>
        <v>0.18</v>
      </c>
      <c r="D136" s="24">
        <f>D84</f>
        <v>126.6138264</v>
      </c>
      <c r="E136" s="36">
        <f>J80</f>
        <v>0.7329371288</v>
      </c>
      <c r="F136" s="36">
        <f t="shared" si="43"/>
        <v>11.50995182</v>
      </c>
      <c r="G136" s="36">
        <f t="shared" si="44"/>
        <v>0.03527838924</v>
      </c>
      <c r="H136" s="24">
        <f t="shared" si="45"/>
        <v>321.6907969</v>
      </c>
      <c r="I136" s="1">
        <f t="shared" si="46"/>
        <v>38.68449009</v>
      </c>
    </row>
    <row r="137" ht="15.75" customHeight="1">
      <c r="A137" s="21"/>
      <c r="B137" s="1">
        <f>B90</f>
        <v>2.1</v>
      </c>
      <c r="C137" s="1">
        <f t="shared" si="42"/>
        <v>0.126</v>
      </c>
      <c r="D137" s="24">
        <f>D95</f>
        <v>191.1945275</v>
      </c>
      <c r="E137" s="36">
        <f>J91</f>
        <v>0.6637259967</v>
      </c>
      <c r="F137" s="36">
        <f t="shared" si="43"/>
        <v>12.24011278</v>
      </c>
      <c r="G137" s="36">
        <f t="shared" si="44"/>
        <v>0.02848180913</v>
      </c>
      <c r="H137" s="24">
        <f t="shared" si="45"/>
        <v>386.2714981</v>
      </c>
      <c r="I137" s="37">
        <f t="shared" si="46"/>
        <v>46.02404751</v>
      </c>
    </row>
    <row r="138" ht="15.75" customHeight="1">
      <c r="A138" s="21"/>
      <c r="B138" s="1">
        <f>B101</f>
        <v>1.8</v>
      </c>
      <c r="C138" s="1">
        <f t="shared" si="42"/>
        <v>0.108</v>
      </c>
      <c r="D138" s="24">
        <f>D106</f>
        <v>234.057746</v>
      </c>
      <c r="E138" s="36">
        <f>J102</f>
        <v>0.6315521338</v>
      </c>
      <c r="F138" s="36">
        <f t="shared" si="43"/>
        <v>12.75583766</v>
      </c>
      <c r="G138" s="36">
        <f t="shared" si="44"/>
        <v>0.02596566788</v>
      </c>
      <c r="H138" s="24">
        <f t="shared" si="45"/>
        <v>429.1347165</v>
      </c>
      <c r="I138" s="37">
        <f t="shared" si="46"/>
        <v>48.33153773</v>
      </c>
    </row>
    <row r="139" ht="15.75" customHeight="1">
      <c r="A139" s="21"/>
      <c r="B139" s="1">
        <f>B112</f>
        <v>1.5</v>
      </c>
      <c r="C139" s="1">
        <f t="shared" si="42"/>
        <v>0.09</v>
      </c>
      <c r="D139" s="24">
        <f>D117</f>
        <v>310.2161609</v>
      </c>
      <c r="E139" s="36">
        <f>J113</f>
        <v>0.5875792857</v>
      </c>
      <c r="F139" s="36">
        <f t="shared" si="43"/>
        <v>13.74072323</v>
      </c>
      <c r="G139" s="36">
        <f t="shared" si="44"/>
        <v>0.02327505684</v>
      </c>
      <c r="H139" s="24">
        <f t="shared" si="45"/>
        <v>505.2931314</v>
      </c>
      <c r="I139" s="37">
        <f t="shared" si="46"/>
        <v>49.25633725</v>
      </c>
    </row>
    <row r="140" ht="15.75" customHeight="1">
      <c r="A140" s="21"/>
      <c r="B140" s="1">
        <f>B123</f>
        <v>1</v>
      </c>
      <c r="C140" s="1">
        <f t="shared" si="42"/>
        <v>0.06</v>
      </c>
      <c r="D140" s="24">
        <f>D128</f>
        <v>712.5428908</v>
      </c>
      <c r="E140" s="36">
        <f>J124</f>
        <v>0.4718893727</v>
      </c>
      <c r="F140" s="36">
        <f t="shared" si="43"/>
        <v>18.02390098</v>
      </c>
      <c r="G140" s="36">
        <f t="shared" si="44"/>
        <v>0.01824887073</v>
      </c>
      <c r="H140" s="24">
        <f t="shared" si="45"/>
        <v>907.6198613</v>
      </c>
      <c r="I140" s="1">
        <f t="shared" si="46"/>
        <v>41.1332265</v>
      </c>
    </row>
    <row r="141" ht="15.75" customHeight="1">
      <c r="A141" s="21"/>
      <c r="B141" s="1"/>
      <c r="C141" s="1"/>
    </row>
    <row r="142" ht="15.75" customHeight="1">
      <c r="A142" s="7" t="s">
        <v>46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9"/>
    </row>
    <row r="143" ht="15.75" customHeight="1">
      <c r="A143" s="1"/>
      <c r="B143" s="1" t="s">
        <v>93</v>
      </c>
      <c r="C143" s="1" t="s">
        <v>94</v>
      </c>
      <c r="D143" s="1" t="s">
        <v>88</v>
      </c>
      <c r="E143" s="1" t="s">
        <v>51</v>
      </c>
      <c r="F143" s="1" t="s">
        <v>89</v>
      </c>
      <c r="G143" s="1" t="s">
        <v>90</v>
      </c>
      <c r="H143" s="1" t="s">
        <v>95</v>
      </c>
      <c r="I143" s="1" t="s">
        <v>96</v>
      </c>
      <c r="J143" s="1" t="s">
        <v>97</v>
      </c>
      <c r="K143" s="1" t="s">
        <v>92</v>
      </c>
      <c r="L143" s="1"/>
      <c r="M143" s="1"/>
      <c r="N143" s="1"/>
      <c r="O143" s="1"/>
    </row>
    <row r="144" ht="15.75" customHeight="1">
      <c r="A144" s="1"/>
      <c r="B144" s="38">
        <v>8.62</v>
      </c>
      <c r="C144" s="24">
        <f t="shared" ref="C144:C150" si="47">B144*60/1000</f>
        <v>0.5172</v>
      </c>
      <c r="D144" s="24">
        <f>D134</f>
        <v>57.31461739</v>
      </c>
      <c r="E144" s="36">
        <f>J54</f>
        <v>0.8860291991</v>
      </c>
      <c r="F144" s="36">
        <f t="shared" ref="F144:F150" si="48">400/(D144^E144)</f>
        <v>11.07096581</v>
      </c>
      <c r="G144" s="36">
        <f t="shared" ref="G144:G150" si="49">(((C144^2)*($B$16^2))/(3600*($B$15/100)))^0.3</f>
        <v>0.06645694213</v>
      </c>
      <c r="H144" s="24">
        <f t="shared" ref="H144:H150" si="50">D144+$E$46</f>
        <v>252.3915879</v>
      </c>
      <c r="I144" s="1" t="s">
        <v>98</v>
      </c>
      <c r="J144" s="1" t="s">
        <v>98</v>
      </c>
      <c r="K144" s="1" t="s">
        <v>98</v>
      </c>
      <c r="L144" s="1"/>
      <c r="M144" s="1"/>
      <c r="N144" s="1"/>
      <c r="O144" s="1"/>
    </row>
    <row r="145" ht="15.75" customHeight="1">
      <c r="B145" s="38">
        <v>5.0</v>
      </c>
      <c r="C145" s="24">
        <f t="shared" si="47"/>
        <v>0.3</v>
      </c>
      <c r="D145" s="24">
        <f>D73</f>
        <v>75.61237806</v>
      </c>
      <c r="E145" s="36">
        <f>J69</f>
        <v>0.8284888128</v>
      </c>
      <c r="F145" s="36">
        <f t="shared" si="48"/>
        <v>11.1087909</v>
      </c>
      <c r="G145" s="36">
        <f t="shared" si="49"/>
        <v>0.04793116637</v>
      </c>
      <c r="H145" s="24">
        <f t="shared" si="50"/>
        <v>270.6893486</v>
      </c>
      <c r="I145" s="1" t="s">
        <v>98</v>
      </c>
      <c r="J145" s="1" t="s">
        <v>98</v>
      </c>
      <c r="K145" s="1" t="s">
        <v>98</v>
      </c>
      <c r="L145" s="1"/>
      <c r="M145" s="1"/>
      <c r="N145" s="1"/>
      <c r="O145" s="1"/>
    </row>
    <row r="146" ht="15.75" customHeight="1">
      <c r="B146" s="38">
        <v>3.0</v>
      </c>
      <c r="C146" s="24">
        <f t="shared" si="47"/>
        <v>0.18</v>
      </c>
      <c r="D146" s="24">
        <f>D84</f>
        <v>126.6138264</v>
      </c>
      <c r="E146" s="36">
        <f>J80</f>
        <v>0.7329371288</v>
      </c>
      <c r="F146" s="36">
        <f t="shared" si="48"/>
        <v>11.50995182</v>
      </c>
      <c r="G146" s="36">
        <f t="shared" si="49"/>
        <v>0.03527838924</v>
      </c>
      <c r="H146" s="24">
        <f t="shared" si="50"/>
        <v>321.6907969</v>
      </c>
      <c r="I146" s="1" t="s">
        <v>98</v>
      </c>
      <c r="J146" s="1" t="s">
        <v>98</v>
      </c>
      <c r="K146" s="1" t="s">
        <v>98</v>
      </c>
      <c r="L146" s="1"/>
      <c r="M146" s="1"/>
      <c r="N146" s="1"/>
      <c r="O146" s="1"/>
    </row>
    <row r="147" ht="15.75" customHeight="1">
      <c r="B147" s="38">
        <v>2.1</v>
      </c>
      <c r="C147" s="24">
        <f t="shared" si="47"/>
        <v>0.126</v>
      </c>
      <c r="D147" s="24">
        <f>D95</f>
        <v>191.1945275</v>
      </c>
      <c r="E147" s="39">
        <f>J91</f>
        <v>0.6637259967</v>
      </c>
      <c r="F147" s="39">
        <f t="shared" si="48"/>
        <v>12.24011278</v>
      </c>
      <c r="G147" s="36">
        <f t="shared" si="49"/>
        <v>0.02848180913</v>
      </c>
      <c r="H147" s="40">
        <f t="shared" si="50"/>
        <v>386.2714981</v>
      </c>
      <c r="I147" s="24">
        <f>E160</f>
        <v>315.3110913</v>
      </c>
      <c r="J147" s="24">
        <f t="shared" ref="J147:J149" si="51">I147-((G147*$B$14)/(2*C147))</f>
        <v>270.1018704</v>
      </c>
      <c r="K147" s="1">
        <f t="shared" ref="K147:K149" si="52">(($D$17*$B$14)/(C147*J147))*100</f>
        <v>65.81878811</v>
      </c>
      <c r="L147" s="1"/>
      <c r="M147" s="1"/>
      <c r="N147" s="1"/>
      <c r="O147" s="1"/>
    </row>
    <row r="148" ht="15.75" customHeight="1">
      <c r="B148" s="38">
        <v>1.8</v>
      </c>
      <c r="C148" s="24">
        <f t="shared" si="47"/>
        <v>0.108</v>
      </c>
      <c r="D148" s="24">
        <f>D106</f>
        <v>234.057746</v>
      </c>
      <c r="E148" s="39">
        <f>J102</f>
        <v>0.6315521338</v>
      </c>
      <c r="F148" s="39">
        <f t="shared" si="48"/>
        <v>12.75583766</v>
      </c>
      <c r="G148" s="36">
        <f t="shared" si="49"/>
        <v>0.02596566788</v>
      </c>
      <c r="H148" s="40">
        <f t="shared" si="50"/>
        <v>429.1347165</v>
      </c>
      <c r="I148" s="24">
        <f>E167</f>
        <v>361.0019133</v>
      </c>
      <c r="J148" s="24">
        <f t="shared" si="51"/>
        <v>312.9173432</v>
      </c>
      <c r="K148" s="1">
        <f t="shared" si="52"/>
        <v>66.28185108</v>
      </c>
      <c r="L148" s="1"/>
      <c r="M148" s="1"/>
      <c r="N148" s="1"/>
      <c r="O148" s="1"/>
    </row>
    <row r="149" ht="15.75" customHeight="1">
      <c r="B149" s="38">
        <v>1.5</v>
      </c>
      <c r="C149" s="24">
        <f t="shared" si="47"/>
        <v>0.09</v>
      </c>
      <c r="D149" s="24">
        <f>D117</f>
        <v>310.2161609</v>
      </c>
      <c r="E149" s="39">
        <f>J113</f>
        <v>0.5875792857</v>
      </c>
      <c r="F149" s="39">
        <f t="shared" si="48"/>
        <v>13.74072323</v>
      </c>
      <c r="G149" s="36">
        <f t="shared" si="49"/>
        <v>0.02327505684</v>
      </c>
      <c r="H149" s="40">
        <f t="shared" si="50"/>
        <v>505.2931314</v>
      </c>
      <c r="I149" s="24">
        <f>E174</f>
        <v>441.590934</v>
      </c>
      <c r="J149" s="24">
        <f t="shared" si="51"/>
        <v>389.8685854</v>
      </c>
      <c r="K149" s="1">
        <f t="shared" si="52"/>
        <v>63.83917509</v>
      </c>
      <c r="L149" s="1"/>
      <c r="M149" s="1"/>
      <c r="N149" s="1"/>
      <c r="O149" s="1"/>
    </row>
    <row r="150" ht="15.75" customHeight="1">
      <c r="A150" s="21"/>
      <c r="B150" s="38">
        <v>1.0</v>
      </c>
      <c r="C150" s="24">
        <f t="shared" si="47"/>
        <v>0.06</v>
      </c>
      <c r="D150" s="24">
        <f>D128</f>
        <v>712.5428908</v>
      </c>
      <c r="E150" s="36">
        <f>J124</f>
        <v>0.4718893727</v>
      </c>
      <c r="F150" s="36">
        <f t="shared" si="48"/>
        <v>18.02390098</v>
      </c>
      <c r="G150" s="36">
        <f t="shared" si="49"/>
        <v>0.01824887073</v>
      </c>
      <c r="H150" s="24">
        <f t="shared" si="50"/>
        <v>907.6198613</v>
      </c>
      <c r="I150" s="1" t="s">
        <v>98</v>
      </c>
      <c r="J150" s="1" t="s">
        <v>98</v>
      </c>
      <c r="K150" s="1" t="s">
        <v>98</v>
      </c>
      <c r="L150" s="1"/>
      <c r="M150" s="1"/>
      <c r="N150" s="1"/>
      <c r="O150" s="1"/>
    </row>
    <row r="151" ht="15.75" customHeight="1">
      <c r="A151" s="21"/>
      <c r="B151" s="38"/>
      <c r="C151" s="24"/>
      <c r="D151" s="24"/>
      <c r="E151" s="36"/>
      <c r="F151" s="36"/>
      <c r="G151" s="36"/>
      <c r="H151" s="24"/>
      <c r="I151" s="1"/>
      <c r="K151" s="1"/>
      <c r="L151" s="1"/>
      <c r="M151" s="1"/>
      <c r="N151" s="1"/>
      <c r="O151" s="1"/>
    </row>
    <row r="152" ht="15.75" customHeight="1">
      <c r="A152" s="21"/>
      <c r="B152" s="38"/>
      <c r="C152" s="24"/>
      <c r="D152" s="24"/>
      <c r="E152" s="36"/>
      <c r="F152" s="36"/>
      <c r="G152" s="36"/>
      <c r="H152" s="24"/>
      <c r="I152" s="1"/>
      <c r="K152" s="1"/>
      <c r="L152" s="1"/>
      <c r="M152" s="1"/>
      <c r="N152" s="1"/>
      <c r="O152" s="1"/>
    </row>
    <row r="153" ht="15.75" customHeight="1">
      <c r="A153" s="21"/>
      <c r="B153" s="1"/>
      <c r="C153" s="1"/>
    </row>
    <row r="154" ht="15.75" customHeight="1">
      <c r="A154" s="7" t="s">
        <v>99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9"/>
    </row>
    <row r="155" ht="15.75" customHeight="1">
      <c r="A155" s="19" t="s">
        <v>94</v>
      </c>
      <c r="B155" s="41" t="s">
        <v>100</v>
      </c>
      <c r="C155" s="19" t="s">
        <v>101</v>
      </c>
      <c r="D155" s="19" t="s">
        <v>102</v>
      </c>
      <c r="E155" s="19" t="s">
        <v>103</v>
      </c>
      <c r="F155" s="42"/>
      <c r="G155" s="21"/>
      <c r="H155" s="21"/>
      <c r="I155" s="21"/>
      <c r="J155" s="21"/>
      <c r="K155" s="21"/>
      <c r="L155" s="21"/>
      <c r="M155" s="21"/>
      <c r="N155" s="21"/>
    </row>
    <row r="156" ht="15.75" customHeight="1">
      <c r="A156" s="43">
        <f>C137</f>
        <v>0.126</v>
      </c>
      <c r="B156" s="19" t="s">
        <v>104</v>
      </c>
      <c r="C156" s="19" t="s">
        <v>105</v>
      </c>
      <c r="D156" s="19" t="s">
        <v>106</v>
      </c>
      <c r="E156" s="19" t="s">
        <v>107</v>
      </c>
      <c r="F156" s="19" t="s">
        <v>59</v>
      </c>
      <c r="G156" s="21"/>
      <c r="H156" s="21"/>
      <c r="I156" s="21"/>
      <c r="J156" s="21"/>
      <c r="K156" s="21"/>
      <c r="L156" s="21"/>
      <c r="M156" s="21"/>
      <c r="N156" s="21"/>
    </row>
    <row r="157" ht="15.75" customHeight="1">
      <c r="A157" s="44"/>
      <c r="B157" s="31">
        <f>H147</f>
        <v>386.2714981</v>
      </c>
      <c r="C157" s="45">
        <f>0.5*$B$10*$B$8*(B157^($B$10-1)+(B157-D147)^($B$10-1))+$B$12</f>
        <v>0.0001709755046</v>
      </c>
      <c r="D157" s="45">
        <f>((((C147-C157*$B$14)*$B$16)/(60*($D$15^0.5)))^0.6)*($B$14^-1)</f>
        <v>0.00004452286114</v>
      </c>
      <c r="E157" s="45">
        <f t="shared" ref="E157:E160" si="53">$B$157-((0.095*($B$16^0.47565)*(D157^0.2072)*($B$14^0.6829))/((C157^0.5243)*($D$15^0.2378)))</f>
        <v>311.0054041</v>
      </c>
      <c r="F157" s="45">
        <f t="shared" ref="F157:F160" si="54">B157-E157</f>
        <v>75.26609402</v>
      </c>
      <c r="G157" s="21"/>
      <c r="H157" s="21"/>
      <c r="I157" s="21"/>
      <c r="J157" s="21"/>
      <c r="K157" s="21"/>
      <c r="L157" s="21"/>
      <c r="M157" s="21"/>
      <c r="N157" s="21"/>
    </row>
    <row r="158" ht="15.75" customHeight="1">
      <c r="A158" s="44"/>
      <c r="B158" s="31">
        <f t="shared" ref="B158:B160" si="55">E157</f>
        <v>311.0054041</v>
      </c>
      <c r="C158" s="45">
        <f t="shared" ref="C158:C160" si="56">0.5*$B$10*$B$8*(B158^($B$10-1)+(B158-$D$147)^($B$10-1))+$B$12</f>
        <v>0.0001875725373</v>
      </c>
      <c r="D158" s="45">
        <f t="shared" ref="D158:D160" si="57">(((($C$147-C158*$B$14)*$B$16)/(60*($D$15^0.5)))^0.6)*($B$14^-1)</f>
        <v>0.00004136938546</v>
      </c>
      <c r="E158" s="45">
        <f t="shared" si="53"/>
        <v>315.6570658</v>
      </c>
      <c r="F158" s="45">
        <f t="shared" si="54"/>
        <v>-4.651661709</v>
      </c>
      <c r="G158" s="21"/>
      <c r="H158" s="21"/>
      <c r="I158" s="21"/>
      <c r="J158" s="21"/>
      <c r="K158" s="21"/>
      <c r="L158" s="21"/>
      <c r="M158" s="21"/>
      <c r="N158" s="21"/>
    </row>
    <row r="159" ht="15.75" customHeight="1">
      <c r="A159" s="44"/>
      <c r="B159" s="31">
        <f t="shared" si="55"/>
        <v>315.6570658</v>
      </c>
      <c r="C159" s="45">
        <f t="shared" si="56"/>
        <v>0.000186167207</v>
      </c>
      <c r="D159" s="45">
        <f t="shared" si="57"/>
        <v>0.00004164252943</v>
      </c>
      <c r="E159" s="45">
        <f t="shared" si="53"/>
        <v>315.2813542</v>
      </c>
      <c r="F159" s="45">
        <f t="shared" si="54"/>
        <v>0.3757116167</v>
      </c>
      <c r="G159" s="21"/>
      <c r="H159" s="21"/>
      <c r="I159" s="21"/>
      <c r="J159" s="21"/>
      <c r="K159" s="21"/>
      <c r="L159" s="21"/>
      <c r="M159" s="21"/>
      <c r="N159" s="21"/>
    </row>
    <row r="160" ht="15.75" customHeight="1">
      <c r="A160" s="46"/>
      <c r="B160" s="31">
        <f t="shared" si="55"/>
        <v>315.2813542</v>
      </c>
      <c r="C160" s="45">
        <f t="shared" si="56"/>
        <v>0.0001862780234</v>
      </c>
      <c r="D160" s="45">
        <f t="shared" si="57"/>
        <v>0.00004162103426</v>
      </c>
      <c r="E160" s="47">
        <f t="shared" si="53"/>
        <v>315.3110913</v>
      </c>
      <c r="F160" s="48">
        <f t="shared" si="54"/>
        <v>-0.02973712483</v>
      </c>
      <c r="G160" s="21"/>
      <c r="H160" s="21"/>
      <c r="I160" s="21"/>
      <c r="J160" s="21"/>
      <c r="K160" s="21"/>
      <c r="L160" s="21"/>
      <c r="M160" s="21"/>
      <c r="N160" s="21"/>
    </row>
    <row r="161" ht="15.75" customHeight="1">
      <c r="A161" s="49"/>
      <c r="B161" s="36"/>
      <c r="C161" s="50"/>
      <c r="D161" s="50"/>
      <c r="E161" s="50"/>
      <c r="F161" s="51"/>
      <c r="G161" s="52"/>
      <c r="H161" s="52"/>
      <c r="I161" s="52"/>
      <c r="J161" s="52"/>
      <c r="K161" s="52"/>
      <c r="L161" s="52"/>
      <c r="M161" s="52"/>
      <c r="N161" s="52"/>
    </row>
    <row r="162" ht="15.75" customHeight="1">
      <c r="A162" s="41" t="s">
        <v>94</v>
      </c>
      <c r="B162" s="41" t="s">
        <v>100</v>
      </c>
      <c r="C162" s="19" t="s">
        <v>101</v>
      </c>
      <c r="D162" s="19" t="s">
        <v>102</v>
      </c>
      <c r="E162" s="19" t="s">
        <v>103</v>
      </c>
      <c r="F162" s="42"/>
      <c r="G162" s="52"/>
      <c r="H162" s="52"/>
      <c r="I162" s="52"/>
      <c r="J162" s="52"/>
      <c r="K162" s="52"/>
      <c r="L162" s="52"/>
      <c r="M162" s="52"/>
      <c r="N162" s="52"/>
    </row>
    <row r="163" ht="15.75" customHeight="1">
      <c r="A163" s="43">
        <f>C138</f>
        <v>0.108</v>
      </c>
      <c r="B163" s="19" t="s">
        <v>104</v>
      </c>
      <c r="C163" s="19" t="s">
        <v>105</v>
      </c>
      <c r="D163" s="19" t="s">
        <v>106</v>
      </c>
      <c r="E163" s="19" t="s">
        <v>107</v>
      </c>
      <c r="F163" s="19" t="s">
        <v>59</v>
      </c>
      <c r="G163" s="52"/>
      <c r="H163" s="52"/>
      <c r="I163" s="52"/>
      <c r="J163" s="52"/>
      <c r="K163" s="52"/>
      <c r="L163" s="52"/>
      <c r="M163" s="52"/>
      <c r="N163" s="52"/>
    </row>
    <row r="164" ht="15.75" customHeight="1">
      <c r="A164" s="44"/>
      <c r="B164" s="31">
        <f>H148</f>
        <v>429.1347165</v>
      </c>
      <c r="C164" s="45">
        <f t="shared" ref="C164:C167" si="58">0.5*$B$10*$B$8*(B164^($B$10-1)+(B164-$D$148)^($B$10-1))+$B$12</f>
        <v>0.0001693504527</v>
      </c>
      <c r="D164" s="45">
        <f t="shared" ref="D164:D167" si="59">(((($C$148-C164*$B$14)*$B$16)/(60*($D$15^0.5)))^0.6)*($B$14^-1)</f>
        <v>0.00003590941612</v>
      </c>
      <c r="E164" s="45">
        <f t="shared" ref="E164:E167" si="60">$B$164-((0.095*($B$16^0.47565)*(D164^0.2072)*($B$14^0.6829))/((C164^0.5243)*($D$15^0.2378)))</f>
        <v>356.7866903</v>
      </c>
      <c r="F164" s="45">
        <f t="shared" ref="F164:F167" si="61">B164-E164</f>
        <v>72.34802626</v>
      </c>
      <c r="G164" s="52"/>
      <c r="H164" s="52"/>
      <c r="I164" s="52"/>
      <c r="J164" s="52"/>
      <c r="K164" s="52"/>
      <c r="L164" s="52"/>
      <c r="M164" s="52"/>
      <c r="N164" s="52"/>
    </row>
    <row r="165" ht="15.75" customHeight="1">
      <c r="A165" s="44"/>
      <c r="B165" s="31">
        <f t="shared" ref="B165:B167" si="62">E164</f>
        <v>356.7866903</v>
      </c>
      <c r="C165" s="45">
        <f t="shared" si="58"/>
        <v>0.0001844807559</v>
      </c>
      <c r="D165" s="45">
        <f t="shared" si="59"/>
        <v>0.0000325656357</v>
      </c>
      <c r="E165" s="45">
        <f t="shared" si="60"/>
        <v>361.3478056</v>
      </c>
      <c r="F165" s="45">
        <f t="shared" si="61"/>
        <v>-4.561115328</v>
      </c>
      <c r="G165" s="52"/>
      <c r="H165" s="52"/>
      <c r="I165" s="52"/>
      <c r="J165" s="52"/>
      <c r="K165" s="52"/>
      <c r="L165" s="52"/>
      <c r="M165" s="52"/>
      <c r="N165" s="52"/>
    </row>
    <row r="166" ht="15.75" customHeight="1">
      <c r="A166" s="44"/>
      <c r="B166" s="31">
        <f t="shared" si="62"/>
        <v>361.3478056</v>
      </c>
      <c r="C166" s="45">
        <f t="shared" si="58"/>
        <v>0.0001831918097</v>
      </c>
      <c r="D166" s="45">
        <f t="shared" si="59"/>
        <v>0.00003285925174</v>
      </c>
      <c r="E166" s="45">
        <f t="shared" si="60"/>
        <v>360.9715066</v>
      </c>
      <c r="F166" s="45">
        <f t="shared" si="61"/>
        <v>0.37629898</v>
      </c>
      <c r="G166" s="52"/>
      <c r="H166" s="52"/>
      <c r="I166" s="52"/>
      <c r="J166" s="52"/>
      <c r="K166" s="52"/>
      <c r="L166" s="52"/>
      <c r="M166" s="52"/>
      <c r="N166" s="52"/>
    </row>
    <row r="167" ht="15.75" customHeight="1">
      <c r="A167" s="46"/>
      <c r="B167" s="31">
        <f t="shared" si="62"/>
        <v>360.9715066</v>
      </c>
      <c r="C167" s="45">
        <f t="shared" si="58"/>
        <v>0.0001832957142</v>
      </c>
      <c r="D167" s="45">
        <f t="shared" si="59"/>
        <v>0.00003283564768</v>
      </c>
      <c r="E167" s="47">
        <f t="shared" si="60"/>
        <v>361.0019133</v>
      </c>
      <c r="F167" s="45">
        <f t="shared" si="61"/>
        <v>-0.03040671966</v>
      </c>
      <c r="G167" s="52"/>
      <c r="H167" s="52"/>
      <c r="I167" s="52"/>
      <c r="J167" s="52"/>
      <c r="K167" s="52"/>
      <c r="L167" s="52"/>
      <c r="M167" s="52"/>
      <c r="N167" s="52"/>
    </row>
    <row r="168" ht="15.75" customHeight="1">
      <c r="A168" s="53"/>
      <c r="B168" s="1"/>
      <c r="C168" s="1"/>
    </row>
    <row r="169" ht="15.75" customHeight="1">
      <c r="A169" s="41" t="s">
        <v>94</v>
      </c>
      <c r="B169" s="41" t="s">
        <v>100</v>
      </c>
      <c r="C169" s="19" t="s">
        <v>101</v>
      </c>
      <c r="D169" s="19" t="s">
        <v>102</v>
      </c>
      <c r="E169" s="19" t="s">
        <v>103</v>
      </c>
      <c r="F169" s="42"/>
    </row>
    <row r="170" ht="15.75" customHeight="1">
      <c r="A170" s="43">
        <f>C139</f>
        <v>0.09</v>
      </c>
      <c r="B170" s="19" t="s">
        <v>104</v>
      </c>
      <c r="C170" s="19" t="s">
        <v>105</v>
      </c>
      <c r="D170" s="19" t="s">
        <v>106</v>
      </c>
      <c r="E170" s="19" t="s">
        <v>107</v>
      </c>
      <c r="F170" s="19" t="s">
        <v>59</v>
      </c>
    </row>
    <row r="171" ht="15.75" customHeight="1">
      <c r="A171" s="44"/>
      <c r="B171" s="31">
        <f>H149</f>
        <v>505.2931314</v>
      </c>
      <c r="C171" s="45">
        <f t="shared" ref="C171:C174" si="63">0.5*$B$10*$B$8*(B171^($B$10-1)+(B171-$D$149)^($B$10-1))+$B$12</f>
        <v>0.0001670067687</v>
      </c>
      <c r="D171" s="45">
        <f t="shared" ref="D171:D174" si="64">(((($C$149-C171*$B$14)*$B$16)/(60*($D$15^0.5)))^0.6)*($B$14^-1)</f>
        <v>0.00002579571872</v>
      </c>
      <c r="E171" s="45">
        <f t="shared" ref="E171:E174" si="65">$B$171-((0.095*($B$16^0.47565)*(D171^0.2072)*($B$14^0.6829))/((C171^0.5243)*($D$15^0.2378)))</f>
        <v>437.2423051</v>
      </c>
      <c r="F171" s="45">
        <f t="shared" ref="F171:F174" si="66">B171-E171</f>
        <v>68.05082633</v>
      </c>
    </row>
    <row r="172" ht="15.75" customHeight="1">
      <c r="A172" s="44"/>
      <c r="B172" s="31">
        <f t="shared" ref="B172:B174" si="67">E171</f>
        <v>437.2423051</v>
      </c>
      <c r="C172" s="45">
        <f t="shared" si="63"/>
        <v>0.0001802684162</v>
      </c>
      <c r="D172" s="45">
        <f t="shared" si="64"/>
        <v>0.00002207444602</v>
      </c>
      <c r="E172" s="45">
        <f t="shared" si="65"/>
        <v>441.9914117</v>
      </c>
      <c r="F172" s="45">
        <f t="shared" si="66"/>
        <v>-4.749106608</v>
      </c>
    </row>
    <row r="173" ht="15.75" customHeight="1">
      <c r="A173" s="44"/>
      <c r="B173" s="31">
        <f t="shared" si="67"/>
        <v>441.9914117</v>
      </c>
      <c r="C173" s="45">
        <f t="shared" si="63"/>
        <v>0.0001790437966</v>
      </c>
      <c r="D173" s="45">
        <f t="shared" si="64"/>
        <v>0.00002243508576</v>
      </c>
      <c r="E173" s="45">
        <f t="shared" si="65"/>
        <v>441.5511022</v>
      </c>
      <c r="F173" s="45">
        <f t="shared" si="66"/>
        <v>0.4403094926</v>
      </c>
    </row>
    <row r="174" ht="15.75" customHeight="1">
      <c r="A174" s="46"/>
      <c r="B174" s="31">
        <f t="shared" si="67"/>
        <v>441.5511022</v>
      </c>
      <c r="C174" s="45">
        <f t="shared" si="63"/>
        <v>0.0001791547084</v>
      </c>
      <c r="D174" s="45">
        <f t="shared" si="64"/>
        <v>0.00002240258282</v>
      </c>
      <c r="E174" s="47">
        <f t="shared" si="65"/>
        <v>441.590934</v>
      </c>
      <c r="F174" s="45">
        <f t="shared" si="66"/>
        <v>-0.03983180062</v>
      </c>
    </row>
    <row r="175" ht="15.75" customHeight="1">
      <c r="A175" s="1"/>
      <c r="B175" s="1"/>
      <c r="C175" s="1"/>
    </row>
    <row r="176" ht="15.75" customHeight="1">
      <c r="A176" s="7" t="s">
        <v>108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9"/>
    </row>
    <row r="177" ht="15.75" customHeight="1">
      <c r="A177" s="1"/>
      <c r="B177" s="1"/>
      <c r="C177" s="1"/>
    </row>
    <row r="178" ht="15.75" customHeight="1">
      <c r="A178" s="1"/>
      <c r="B178" s="54" t="s">
        <v>109</v>
      </c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9"/>
    </row>
    <row r="179" ht="15.75" customHeight="1">
      <c r="A179" s="1"/>
      <c r="B179" s="55" t="s">
        <v>110</v>
      </c>
      <c r="C179" s="55" t="s">
        <v>88</v>
      </c>
      <c r="D179" s="55" t="s">
        <v>95</v>
      </c>
      <c r="E179" s="55" t="s">
        <v>111</v>
      </c>
      <c r="F179" s="55" t="s">
        <v>112</v>
      </c>
      <c r="G179" s="55"/>
      <c r="N179" s="56" t="s">
        <v>113</v>
      </c>
      <c r="O179" s="11">
        <f>J147+30</f>
        <v>300.1018704</v>
      </c>
      <c r="P179" s="42" t="s">
        <v>114</v>
      </c>
    </row>
    <row r="180" ht="15.75" customHeight="1">
      <c r="A180" s="1"/>
      <c r="B180" s="6">
        <v>0.0</v>
      </c>
      <c r="C180" s="57">
        <f>(B180/$F$148)^(1/$E$148)</f>
        <v>0</v>
      </c>
      <c r="D180" s="58">
        <f t="shared" ref="D180:D190" si="68">$I$147+((($H$147-$I$147)/$B$14)*B180)</f>
        <v>315.3110913</v>
      </c>
      <c r="E180" s="58">
        <f t="shared" ref="E180:E190" si="69">D180-C180</f>
        <v>315.3110913</v>
      </c>
      <c r="F180" s="59">
        <f t="shared" ref="F180:F190" si="70">$B$8*(E180^$B$10)+$B$12*E180</f>
        <v>0.07681164715</v>
      </c>
      <c r="G180" s="31">
        <f>F180</f>
        <v>0.07681164715</v>
      </c>
      <c r="H180" s="60" t="s">
        <v>115</v>
      </c>
      <c r="M180" s="61"/>
      <c r="N180" s="56" t="s">
        <v>113</v>
      </c>
      <c r="O180" s="11">
        <f>O179/60</f>
        <v>5.001697841</v>
      </c>
      <c r="P180" s="42" t="s">
        <v>116</v>
      </c>
    </row>
    <row r="181" ht="15.75" customHeight="1">
      <c r="A181" s="1"/>
      <c r="B181" s="6">
        <f t="shared" ref="B181:B190" si="71">B180+40</f>
        <v>40</v>
      </c>
      <c r="C181" s="57">
        <f t="shared" ref="C181:C190" si="72">(B181/$F$147)^(1/$E$147)</f>
        <v>5.954285234</v>
      </c>
      <c r="D181" s="58">
        <f t="shared" si="68"/>
        <v>322.407132</v>
      </c>
      <c r="E181" s="58">
        <f t="shared" si="69"/>
        <v>316.4528467</v>
      </c>
      <c r="F181" s="59">
        <f t="shared" si="70"/>
        <v>0.07699953263</v>
      </c>
      <c r="G181" s="31">
        <f t="shared" ref="G181:G189" si="73">F181*2</f>
        <v>0.1539990653</v>
      </c>
      <c r="N181" s="56" t="s">
        <v>113</v>
      </c>
      <c r="O181" s="11">
        <v>5.0</v>
      </c>
      <c r="P181" s="42" t="s">
        <v>116</v>
      </c>
    </row>
    <row r="182" ht="15.75" customHeight="1">
      <c r="A182" s="1"/>
      <c r="B182" s="6">
        <f t="shared" si="71"/>
        <v>80</v>
      </c>
      <c r="C182" s="57">
        <f t="shared" si="72"/>
        <v>16.91902066</v>
      </c>
      <c r="D182" s="58">
        <f t="shared" si="68"/>
        <v>329.5031726</v>
      </c>
      <c r="E182" s="58">
        <f t="shared" si="69"/>
        <v>312.584152</v>
      </c>
      <c r="F182" s="59">
        <f t="shared" si="70"/>
        <v>0.07636231015</v>
      </c>
      <c r="G182" s="31">
        <f t="shared" si="73"/>
        <v>0.1527246203</v>
      </c>
      <c r="N182" s="6"/>
      <c r="O182" s="6"/>
      <c r="P182" s="42"/>
    </row>
    <row r="183" ht="15.75" customHeight="1">
      <c r="A183" s="1"/>
      <c r="B183" s="6">
        <f t="shared" si="71"/>
        <v>120</v>
      </c>
      <c r="C183" s="57">
        <f t="shared" si="72"/>
        <v>31.1660943</v>
      </c>
      <c r="D183" s="58">
        <f t="shared" si="68"/>
        <v>336.5992133</v>
      </c>
      <c r="E183" s="58">
        <f t="shared" si="69"/>
        <v>305.433119</v>
      </c>
      <c r="F183" s="59">
        <f t="shared" si="70"/>
        <v>0.07517991885</v>
      </c>
      <c r="G183" s="31">
        <f t="shared" si="73"/>
        <v>0.1503598377</v>
      </c>
      <c r="N183" s="56" t="s">
        <v>117</v>
      </c>
      <c r="O183" s="6">
        <v>12.0</v>
      </c>
      <c r="P183" s="42" t="s">
        <v>116</v>
      </c>
      <c r="Q183" s="60" t="s">
        <v>118</v>
      </c>
    </row>
    <row r="184" ht="15.75" customHeight="1">
      <c r="A184" s="1"/>
      <c r="B184" s="6">
        <f t="shared" si="71"/>
        <v>160</v>
      </c>
      <c r="C184" s="57">
        <f t="shared" si="72"/>
        <v>48.07516749</v>
      </c>
      <c r="D184" s="58">
        <f t="shared" si="68"/>
        <v>343.695254</v>
      </c>
      <c r="E184" s="58">
        <f t="shared" si="69"/>
        <v>295.6200865</v>
      </c>
      <c r="F184" s="59">
        <f t="shared" si="70"/>
        <v>0.07354747389</v>
      </c>
      <c r="G184" s="31">
        <f t="shared" si="73"/>
        <v>0.1470949478</v>
      </c>
      <c r="N184" s="6"/>
      <c r="O184" s="6"/>
      <c r="P184" s="42"/>
    </row>
    <row r="185" ht="15.75" customHeight="1">
      <c r="A185" s="1"/>
      <c r="B185" s="6">
        <f t="shared" si="71"/>
        <v>200</v>
      </c>
      <c r="C185" s="57">
        <f t="shared" si="72"/>
        <v>67.2867996</v>
      </c>
      <c r="D185" s="58">
        <f t="shared" si="68"/>
        <v>350.7912947</v>
      </c>
      <c r="E185" s="58">
        <f t="shared" si="69"/>
        <v>283.5044951</v>
      </c>
      <c r="F185" s="59">
        <f t="shared" si="70"/>
        <v>0.07151536492</v>
      </c>
      <c r="G185" s="31">
        <f t="shared" si="73"/>
        <v>0.1430307298</v>
      </c>
      <c r="N185" s="56" t="s">
        <v>119</v>
      </c>
      <c r="O185" s="6">
        <f>O183/O181</f>
        <v>2.4</v>
      </c>
      <c r="P185" s="42" t="s">
        <v>120</v>
      </c>
    </row>
    <row r="186" ht="15.75" customHeight="1">
      <c r="A186" s="1"/>
      <c r="B186" s="6">
        <f t="shared" si="71"/>
        <v>240</v>
      </c>
      <c r="C186" s="57">
        <f t="shared" si="72"/>
        <v>88.55803383</v>
      </c>
      <c r="D186" s="58">
        <f t="shared" si="68"/>
        <v>357.8873354</v>
      </c>
      <c r="E186" s="58">
        <f t="shared" si="69"/>
        <v>269.3293015</v>
      </c>
      <c r="F186" s="59">
        <f t="shared" si="70"/>
        <v>0.06911292664</v>
      </c>
      <c r="G186" s="31">
        <f t="shared" si="73"/>
        <v>0.1382258533</v>
      </c>
      <c r="N186" s="56" t="s">
        <v>119</v>
      </c>
      <c r="O186" s="6">
        <v>2.0</v>
      </c>
      <c r="P186" s="42" t="s">
        <v>120</v>
      </c>
    </row>
    <row r="187" ht="15.75" customHeight="1">
      <c r="A187" s="1"/>
      <c r="B187" s="6">
        <f t="shared" si="71"/>
        <v>280</v>
      </c>
      <c r="C187" s="57">
        <f t="shared" si="72"/>
        <v>111.710261</v>
      </c>
      <c r="D187" s="58">
        <f t="shared" si="68"/>
        <v>364.983376</v>
      </c>
      <c r="E187" s="58">
        <f t="shared" si="69"/>
        <v>253.273115</v>
      </c>
      <c r="F187" s="59">
        <f t="shared" si="70"/>
        <v>0.06635660213</v>
      </c>
      <c r="G187" s="31">
        <f t="shared" si="73"/>
        <v>0.1327132043</v>
      </c>
      <c r="N187" s="6"/>
      <c r="O187" s="6"/>
      <c r="P187" s="42"/>
    </row>
    <row r="188" ht="15.75" customHeight="1">
      <c r="A188" s="1"/>
      <c r="B188" s="6">
        <f t="shared" si="71"/>
        <v>320</v>
      </c>
      <c r="C188" s="57">
        <f t="shared" si="72"/>
        <v>136.6049357</v>
      </c>
      <c r="D188" s="58">
        <f t="shared" si="68"/>
        <v>372.0794167</v>
      </c>
      <c r="E188" s="58">
        <f t="shared" si="69"/>
        <v>235.474481</v>
      </c>
      <c r="F188" s="59">
        <f t="shared" si="70"/>
        <v>0.0632532205</v>
      </c>
      <c r="G188" s="31">
        <f t="shared" si="73"/>
        <v>0.126506441</v>
      </c>
      <c r="N188" s="56" t="s">
        <v>121</v>
      </c>
      <c r="O188" s="6">
        <f>($B$14*$B$13)/(O186*1)</f>
        <v>80000</v>
      </c>
      <c r="P188" s="42" t="s">
        <v>122</v>
      </c>
    </row>
    <row r="189" ht="15.75" customHeight="1">
      <c r="A189" s="1"/>
      <c r="B189" s="6">
        <f t="shared" si="71"/>
        <v>360</v>
      </c>
      <c r="C189" s="57">
        <f t="shared" si="72"/>
        <v>163.1304843</v>
      </c>
      <c r="D189" s="58">
        <f t="shared" si="68"/>
        <v>379.1754574</v>
      </c>
      <c r="E189" s="58">
        <f t="shared" si="69"/>
        <v>216.0449731</v>
      </c>
      <c r="F189" s="59">
        <f t="shared" si="70"/>
        <v>0.05980101682</v>
      </c>
      <c r="G189" s="31">
        <f t="shared" si="73"/>
        <v>0.1196020336</v>
      </c>
      <c r="N189" s="56" t="s">
        <v>121</v>
      </c>
      <c r="O189" s="6">
        <f>O188/10000</f>
        <v>8</v>
      </c>
      <c r="P189" s="42" t="s">
        <v>123</v>
      </c>
    </row>
    <row r="190" ht="15.75" customHeight="1">
      <c r="B190" s="6">
        <f t="shared" si="71"/>
        <v>400</v>
      </c>
      <c r="C190" s="57">
        <f t="shared" si="72"/>
        <v>191.1945275</v>
      </c>
      <c r="D190" s="58">
        <f t="shared" si="68"/>
        <v>386.2714981</v>
      </c>
      <c r="E190" s="58">
        <f t="shared" si="69"/>
        <v>195.0769705</v>
      </c>
      <c r="F190" s="59">
        <f t="shared" si="70"/>
        <v>0.05598910729</v>
      </c>
      <c r="G190" s="31">
        <f>F190</f>
        <v>0.05598910729</v>
      </c>
      <c r="H190" s="60" t="s">
        <v>124</v>
      </c>
      <c r="M190" s="61"/>
      <c r="N190" s="6"/>
      <c r="O190" s="6"/>
      <c r="P190" s="42"/>
    </row>
    <row r="191" ht="15.75" customHeight="1">
      <c r="A191" s="62" t="s">
        <v>125</v>
      </c>
      <c r="B191" s="1">
        <v>10.0</v>
      </c>
      <c r="C191" s="1"/>
      <c r="D191" s="1"/>
      <c r="F191" s="62" t="s">
        <v>126</v>
      </c>
      <c r="G191" s="36">
        <f>SUM(G180:G190)</f>
        <v>1.397057487</v>
      </c>
      <c r="N191" s="56" t="s">
        <v>127</v>
      </c>
      <c r="O191" s="6">
        <v>200.0</v>
      </c>
      <c r="P191" s="42" t="s">
        <v>14</v>
      </c>
    </row>
    <row r="192" ht="15.75" customHeight="1">
      <c r="A192" s="1"/>
      <c r="B192" s="1"/>
      <c r="C192" s="1"/>
      <c r="D192" s="1"/>
      <c r="F192" s="63" t="s">
        <v>128</v>
      </c>
      <c r="G192" s="58">
        <f>$B$14*(G191/(2*B191))</f>
        <v>27.94114975</v>
      </c>
      <c r="N192" s="56" t="s">
        <v>129</v>
      </c>
      <c r="O192" s="6">
        <v>4.0</v>
      </c>
      <c r="P192" s="42" t="s">
        <v>130</v>
      </c>
    </row>
    <row r="193" ht="15.75" customHeight="1">
      <c r="A193" s="1"/>
      <c r="B193" s="1"/>
      <c r="C193" s="64"/>
      <c r="D193" s="1"/>
      <c r="F193" s="63" t="s">
        <v>131</v>
      </c>
      <c r="G193" s="58">
        <f>((G192-$D$17*$B$14)/(C147*J147))*100</f>
        <v>16.28177505</v>
      </c>
      <c r="N193" s="6"/>
      <c r="O193" s="6"/>
      <c r="P193" s="42"/>
    </row>
    <row r="194" ht="15.75" customHeight="1">
      <c r="A194" s="1"/>
      <c r="B194" s="1"/>
      <c r="C194" s="1"/>
      <c r="F194" s="63" t="s">
        <v>132</v>
      </c>
      <c r="G194" s="58">
        <f>100-K147-G193</f>
        <v>17.89943684</v>
      </c>
      <c r="N194" s="56" t="s">
        <v>133</v>
      </c>
      <c r="O194" s="6">
        <f>O192*O186*1</f>
        <v>8</v>
      </c>
      <c r="P194" s="42" t="s">
        <v>134</v>
      </c>
    </row>
    <row r="195" ht="15.75" customHeight="1">
      <c r="A195" s="1"/>
      <c r="B195" s="1"/>
      <c r="C195" s="1"/>
      <c r="N195" s="6"/>
      <c r="O195" s="6"/>
      <c r="P195" s="42"/>
    </row>
    <row r="196" ht="15.75" customHeight="1">
      <c r="A196" s="1"/>
      <c r="B196" s="1"/>
      <c r="C196" s="1"/>
      <c r="N196" s="6"/>
      <c r="O196" s="6"/>
      <c r="P196" s="42"/>
    </row>
    <row r="197" ht="15.75" customHeight="1">
      <c r="A197" s="1"/>
      <c r="B197" s="1"/>
      <c r="C197" s="1"/>
      <c r="N197" s="56" t="s">
        <v>135</v>
      </c>
      <c r="O197" s="6">
        <f>O192*(O191/O192)*B147</f>
        <v>420</v>
      </c>
      <c r="P197" s="42" t="s">
        <v>136</v>
      </c>
    </row>
    <row r="198" ht="15.75" customHeight="1">
      <c r="A198" s="1"/>
      <c r="B198" s="1"/>
      <c r="C198" s="1"/>
      <c r="N198" s="6"/>
      <c r="O198" s="65" t="s">
        <v>137</v>
      </c>
      <c r="P198" s="42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54" t="s">
        <v>138</v>
      </c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9"/>
    </row>
    <row r="202" ht="15.75" customHeight="1">
      <c r="A202" s="1"/>
      <c r="B202" s="55" t="s">
        <v>110</v>
      </c>
      <c r="C202" s="55" t="s">
        <v>88</v>
      </c>
      <c r="D202" s="55" t="s">
        <v>95</v>
      </c>
      <c r="E202" s="55" t="s">
        <v>111</v>
      </c>
      <c r="F202" s="55" t="s">
        <v>112</v>
      </c>
      <c r="G202" s="55"/>
      <c r="N202" s="56" t="s">
        <v>113</v>
      </c>
      <c r="O202" s="11">
        <f>J148+30</f>
        <v>342.9173432</v>
      </c>
      <c r="P202" s="42" t="s">
        <v>114</v>
      </c>
    </row>
    <row r="203" ht="15.75" customHeight="1">
      <c r="A203" s="1"/>
      <c r="B203" s="6">
        <v>0.0</v>
      </c>
      <c r="C203" s="57">
        <f t="shared" ref="C203:C213" si="74">(B203/$F$148)^(1/$E$148)</f>
        <v>0</v>
      </c>
      <c r="D203" s="57">
        <f t="shared" ref="D203:D213" si="75">$I$148+((($H$148-$I$148)/$B$14)*B203)</f>
        <v>361.0019133</v>
      </c>
      <c r="E203" s="57">
        <f t="shared" ref="E203:E213" si="76">D203-C203</f>
        <v>361.0019133</v>
      </c>
      <c r="F203" s="59">
        <f t="shared" ref="F203:F213" si="77">$B$8*(E203^$B$10)+$B$12*E203</f>
        <v>0.08422380079</v>
      </c>
      <c r="G203" s="31">
        <f>F203</f>
        <v>0.08422380079</v>
      </c>
      <c r="H203" s="60" t="s">
        <v>115</v>
      </c>
      <c r="N203" s="56" t="s">
        <v>113</v>
      </c>
      <c r="O203" s="11">
        <f>O202/60</f>
        <v>5.715289053</v>
      </c>
      <c r="P203" s="42" t="s">
        <v>116</v>
      </c>
    </row>
    <row r="204" ht="15.75" customHeight="1">
      <c r="A204" s="1"/>
      <c r="B204" s="6">
        <f t="shared" ref="B204:B213" si="78">B203+40</f>
        <v>40</v>
      </c>
      <c r="C204" s="57">
        <f t="shared" si="74"/>
        <v>6.108329586</v>
      </c>
      <c r="D204" s="57">
        <f t="shared" si="75"/>
        <v>367.8151936</v>
      </c>
      <c r="E204" s="57">
        <f t="shared" si="76"/>
        <v>361.7068641</v>
      </c>
      <c r="F204" s="59">
        <f t="shared" si="77"/>
        <v>0.08433656146</v>
      </c>
      <c r="G204" s="31">
        <f t="shared" ref="G204:G212" si="79">2*F204</f>
        <v>0.1686731229</v>
      </c>
      <c r="N204" s="56" t="s">
        <v>113</v>
      </c>
      <c r="O204" s="11">
        <v>4.0</v>
      </c>
      <c r="P204" s="42" t="s">
        <v>116</v>
      </c>
    </row>
    <row r="205" ht="15.75" customHeight="1">
      <c r="A205" s="1"/>
      <c r="B205" s="6">
        <f t="shared" si="78"/>
        <v>80</v>
      </c>
      <c r="C205" s="57">
        <f t="shared" si="74"/>
        <v>18.30515981</v>
      </c>
      <c r="D205" s="57">
        <f t="shared" si="75"/>
        <v>374.628474</v>
      </c>
      <c r="E205" s="57">
        <f t="shared" si="76"/>
        <v>356.3233141</v>
      </c>
      <c r="F205" s="59">
        <f t="shared" si="77"/>
        <v>0.0834742761</v>
      </c>
      <c r="G205" s="31">
        <f t="shared" si="79"/>
        <v>0.1669485522</v>
      </c>
      <c r="N205" s="6"/>
      <c r="O205" s="6"/>
      <c r="P205" s="42"/>
    </row>
    <row r="206" ht="15.75" customHeight="1">
      <c r="A206" s="1"/>
      <c r="B206" s="6">
        <f t="shared" si="78"/>
        <v>120</v>
      </c>
      <c r="C206" s="57">
        <f t="shared" si="74"/>
        <v>34.7853616</v>
      </c>
      <c r="D206" s="57">
        <f t="shared" si="75"/>
        <v>381.4417543</v>
      </c>
      <c r="E206" s="57">
        <f t="shared" si="76"/>
        <v>346.6563927</v>
      </c>
      <c r="F206" s="59">
        <f t="shared" si="77"/>
        <v>0.08191909373</v>
      </c>
      <c r="G206" s="31">
        <f t="shared" si="79"/>
        <v>0.1638381875</v>
      </c>
      <c r="N206" s="56" t="s">
        <v>117</v>
      </c>
      <c r="O206" s="6">
        <v>12.0</v>
      </c>
      <c r="P206" s="42" t="s">
        <v>116</v>
      </c>
    </row>
    <row r="207" ht="15.75" customHeight="1">
      <c r="A207" s="1"/>
      <c r="B207" s="6">
        <f t="shared" si="78"/>
        <v>160</v>
      </c>
      <c r="C207" s="57">
        <f t="shared" si="74"/>
        <v>54.85605695</v>
      </c>
      <c r="D207" s="57">
        <f t="shared" si="75"/>
        <v>388.2550346</v>
      </c>
      <c r="E207" s="57">
        <f t="shared" si="76"/>
        <v>333.3989776</v>
      </c>
      <c r="F207" s="59">
        <f t="shared" si="77"/>
        <v>0.07977141077</v>
      </c>
      <c r="G207" s="31">
        <f t="shared" si="79"/>
        <v>0.1595428215</v>
      </c>
      <c r="N207" s="6"/>
      <c r="O207" s="6"/>
      <c r="P207" s="42"/>
    </row>
    <row r="208" ht="15.75" customHeight="1">
      <c r="A208" s="1"/>
      <c r="B208" s="6">
        <f t="shared" si="78"/>
        <v>200</v>
      </c>
      <c r="C208" s="57">
        <f t="shared" si="74"/>
        <v>78.10376252</v>
      </c>
      <c r="D208" s="57">
        <f t="shared" si="75"/>
        <v>395.0683149</v>
      </c>
      <c r="E208" s="57">
        <f t="shared" si="76"/>
        <v>316.9645524</v>
      </c>
      <c r="F208" s="59">
        <f t="shared" si="77"/>
        <v>0.07708369065</v>
      </c>
      <c r="G208" s="31">
        <f t="shared" si="79"/>
        <v>0.1541673813</v>
      </c>
      <c r="N208" s="56" t="s">
        <v>119</v>
      </c>
      <c r="O208" s="6">
        <f>O206/O204</f>
        <v>3</v>
      </c>
      <c r="P208" s="42" t="s">
        <v>120</v>
      </c>
    </row>
    <row r="209" ht="15.75" customHeight="1">
      <c r="A209" s="1"/>
      <c r="B209" s="6">
        <f t="shared" si="78"/>
        <v>240</v>
      </c>
      <c r="C209" s="57">
        <f t="shared" si="74"/>
        <v>104.243164</v>
      </c>
      <c r="D209" s="57">
        <f t="shared" si="75"/>
        <v>401.8815952</v>
      </c>
      <c r="E209" s="57">
        <f t="shared" si="76"/>
        <v>297.6384312</v>
      </c>
      <c r="F209" s="59">
        <f t="shared" si="77"/>
        <v>0.07388419526</v>
      </c>
      <c r="G209" s="31">
        <f t="shared" si="79"/>
        <v>0.1477683905</v>
      </c>
      <c r="N209" s="56" t="s">
        <v>119</v>
      </c>
      <c r="O209" s="6">
        <v>2.0</v>
      </c>
      <c r="P209" s="42" t="s">
        <v>120</v>
      </c>
    </row>
    <row r="210" ht="15.75" customHeight="1">
      <c r="A210" s="1"/>
      <c r="B210" s="6">
        <f t="shared" si="78"/>
        <v>280</v>
      </c>
      <c r="C210" s="57">
        <f t="shared" si="74"/>
        <v>133.0611182</v>
      </c>
      <c r="D210" s="57">
        <f t="shared" si="75"/>
        <v>408.6948756</v>
      </c>
      <c r="E210" s="57">
        <f t="shared" si="76"/>
        <v>275.6337574</v>
      </c>
      <c r="F210" s="59">
        <f t="shared" si="77"/>
        <v>0.07018485311</v>
      </c>
      <c r="G210" s="31">
        <f t="shared" si="79"/>
        <v>0.1403697062</v>
      </c>
      <c r="N210" s="6"/>
      <c r="O210" s="6"/>
      <c r="P210" s="42"/>
    </row>
    <row r="211" ht="15.75" customHeight="1">
      <c r="A211" s="1"/>
      <c r="B211" s="6">
        <f t="shared" si="78"/>
        <v>320</v>
      </c>
      <c r="C211" s="57">
        <f t="shared" si="74"/>
        <v>164.3900963</v>
      </c>
      <c r="D211" s="57">
        <f t="shared" si="75"/>
        <v>415.5081559</v>
      </c>
      <c r="E211" s="57">
        <f t="shared" si="76"/>
        <v>251.1180596</v>
      </c>
      <c r="F211" s="59">
        <f t="shared" si="77"/>
        <v>0.06598362747</v>
      </c>
      <c r="G211" s="31">
        <f t="shared" si="79"/>
        <v>0.1319672549</v>
      </c>
      <c r="N211" s="56" t="s">
        <v>121</v>
      </c>
      <c r="O211" s="6">
        <f>($B$14*$B$13)/(O209*1)</f>
        <v>80000</v>
      </c>
      <c r="P211" s="42" t="s">
        <v>122</v>
      </c>
    </row>
    <row r="212" ht="15.75" customHeight="1">
      <c r="A212" s="1"/>
      <c r="B212" s="6">
        <f t="shared" si="78"/>
        <v>360</v>
      </c>
      <c r="C212" s="57">
        <f t="shared" si="74"/>
        <v>198.0936628</v>
      </c>
      <c r="D212" s="57">
        <f t="shared" si="75"/>
        <v>422.3214362</v>
      </c>
      <c r="E212" s="57">
        <f t="shared" si="76"/>
        <v>224.2277733</v>
      </c>
      <c r="F212" s="59">
        <f t="shared" si="77"/>
        <v>0.06126366521</v>
      </c>
      <c r="G212" s="31">
        <f t="shared" si="79"/>
        <v>0.1225273304</v>
      </c>
      <c r="N212" s="56" t="s">
        <v>121</v>
      </c>
      <c r="O212" s="6">
        <f>O211/10000</f>
        <v>8</v>
      </c>
      <c r="P212" s="42" t="s">
        <v>123</v>
      </c>
    </row>
    <row r="213" ht="15.75" customHeight="1">
      <c r="B213" s="6">
        <f t="shared" si="78"/>
        <v>400</v>
      </c>
      <c r="C213" s="57">
        <f t="shared" si="74"/>
        <v>234.057746</v>
      </c>
      <c r="D213" s="57">
        <f t="shared" si="75"/>
        <v>429.1347165</v>
      </c>
      <c r="E213" s="57">
        <f t="shared" si="76"/>
        <v>195.0769705</v>
      </c>
      <c r="F213" s="59">
        <f t="shared" si="77"/>
        <v>0.05598910729</v>
      </c>
      <c r="G213" s="31">
        <f>F213</f>
        <v>0.05598910729</v>
      </c>
      <c r="H213" s="60" t="s">
        <v>124</v>
      </c>
      <c r="N213" s="6"/>
      <c r="O213" s="6"/>
      <c r="P213" s="42"/>
    </row>
    <row r="214" ht="15.75" customHeight="1">
      <c r="A214" s="62" t="s">
        <v>125</v>
      </c>
      <c r="B214" s="1">
        <v>10.0</v>
      </c>
      <c r="C214" s="1"/>
      <c r="D214" s="1"/>
      <c r="F214" s="62" t="s">
        <v>126</v>
      </c>
      <c r="G214" s="36">
        <f>SUM(G203:G213)</f>
        <v>1.496015656</v>
      </c>
      <c r="N214" s="56" t="s">
        <v>127</v>
      </c>
      <c r="O214" s="6">
        <f>O211/400</f>
        <v>200</v>
      </c>
      <c r="P214" s="42" t="s">
        <v>14</v>
      </c>
    </row>
    <row r="215" ht="15.75" customHeight="1">
      <c r="A215" s="1"/>
      <c r="B215" s="1"/>
      <c r="C215" s="1"/>
      <c r="D215" s="1"/>
      <c r="F215" s="63" t="s">
        <v>128</v>
      </c>
      <c r="G215" s="58">
        <f>$B$14*(G214/(2*B214))</f>
        <v>29.92031311</v>
      </c>
      <c r="N215" s="56" t="s">
        <v>129</v>
      </c>
      <c r="O215" s="6">
        <v>4.0</v>
      </c>
      <c r="P215" s="42" t="s">
        <v>130</v>
      </c>
    </row>
    <row r="216" ht="15.75" customHeight="1">
      <c r="A216" s="1"/>
      <c r="B216" s="1"/>
      <c r="C216" s="64"/>
      <c r="D216" s="1"/>
      <c r="F216" s="63" t="s">
        <v>131</v>
      </c>
      <c r="G216" s="58">
        <f>((G215-D17*B14)/(C148*J148))*100</f>
        <v>22.25269079</v>
      </c>
      <c r="N216" s="6"/>
      <c r="O216" s="6"/>
      <c r="P216" s="42"/>
    </row>
    <row r="217" ht="15.75" customHeight="1">
      <c r="A217" s="1"/>
      <c r="B217" s="1"/>
      <c r="C217" s="1"/>
      <c r="F217" s="63" t="s">
        <v>132</v>
      </c>
      <c r="G217" s="58">
        <f>100-K148-G216</f>
        <v>11.46545813</v>
      </c>
      <c r="N217" s="56" t="s">
        <v>133</v>
      </c>
      <c r="O217" s="6">
        <f>O215*O209*1</f>
        <v>8</v>
      </c>
      <c r="P217" s="42" t="s">
        <v>134</v>
      </c>
    </row>
    <row r="218" ht="15.75" customHeight="1">
      <c r="A218" s="1"/>
      <c r="B218" s="1"/>
      <c r="C218" s="1"/>
      <c r="N218" s="6"/>
      <c r="O218" s="6"/>
      <c r="P218" s="42"/>
    </row>
    <row r="219" ht="15.75" customHeight="1">
      <c r="A219" s="1"/>
      <c r="B219" s="1"/>
      <c r="C219" s="1"/>
      <c r="N219" s="6"/>
      <c r="O219" s="6"/>
      <c r="P219" s="42"/>
    </row>
    <row r="220" ht="15.75" customHeight="1">
      <c r="A220" s="1"/>
      <c r="B220" s="1"/>
      <c r="C220" s="1"/>
      <c r="N220" s="56" t="s">
        <v>135</v>
      </c>
      <c r="O220" s="6">
        <f>O215*(O214/O215)*B148</f>
        <v>360</v>
      </c>
      <c r="P220" s="42" t="s">
        <v>136</v>
      </c>
    </row>
    <row r="221" ht="15.75" customHeight="1">
      <c r="A221" s="1"/>
      <c r="B221" s="1"/>
      <c r="C221" s="1"/>
      <c r="N221" s="6"/>
      <c r="O221" s="66" t="s">
        <v>139</v>
      </c>
      <c r="P221" s="67" t="s">
        <v>140</v>
      </c>
    </row>
    <row r="222" ht="15.75" customHeight="1">
      <c r="A222" s="1"/>
      <c r="B222" s="1"/>
      <c r="C222" s="1"/>
    </row>
    <row r="223" ht="15.75" customHeight="1">
      <c r="A223" s="1"/>
      <c r="B223" s="68" t="s">
        <v>141</v>
      </c>
      <c r="C223" s="68"/>
      <c r="D223" s="68"/>
      <c r="E223" s="68"/>
      <c r="F223" s="68"/>
      <c r="G223" s="68"/>
    </row>
    <row r="224" ht="15.75" customHeight="1">
      <c r="A224" s="1"/>
      <c r="B224" s="55" t="s">
        <v>110</v>
      </c>
      <c r="C224" s="55" t="s">
        <v>88</v>
      </c>
      <c r="D224" s="55" t="s">
        <v>95</v>
      </c>
      <c r="E224" s="55" t="s">
        <v>111</v>
      </c>
      <c r="F224" s="55" t="s">
        <v>112</v>
      </c>
      <c r="G224" s="55"/>
    </row>
    <row r="225" ht="15.75" customHeight="1">
      <c r="A225" s="1"/>
      <c r="B225" s="6">
        <v>0.0</v>
      </c>
      <c r="C225" s="57">
        <f t="shared" ref="C225:C235" si="80">(B225/$F$149)^(1/$E$149)</f>
        <v>0</v>
      </c>
      <c r="D225" s="57">
        <f t="shared" ref="D225:D235" si="81">$I$149+((($H$149-$I$149)/$B$14)*B225)</f>
        <v>441.590934</v>
      </c>
      <c r="E225" s="57">
        <f t="shared" ref="E225:E235" si="82">D225-C225</f>
        <v>441.590934</v>
      </c>
      <c r="F225" s="59">
        <f t="shared" ref="F225:F235" si="83">$B$8*(E225^$B$10)+$B$12*E225</f>
        <v>0.0968502806</v>
      </c>
      <c r="G225" s="31">
        <f>F225</f>
        <v>0.0968502806</v>
      </c>
      <c r="H225" s="60" t="s">
        <v>115</v>
      </c>
    </row>
    <row r="226" ht="15.75" customHeight="1">
      <c r="A226" s="1"/>
      <c r="B226" s="6">
        <f t="shared" ref="B226:B235" si="84">B225+40</f>
        <v>40</v>
      </c>
      <c r="C226" s="57">
        <f t="shared" si="80"/>
        <v>6.162634881</v>
      </c>
      <c r="D226" s="57">
        <f t="shared" si="81"/>
        <v>447.9611537</v>
      </c>
      <c r="E226" s="57">
        <f t="shared" si="82"/>
        <v>441.7985188</v>
      </c>
      <c r="F226" s="59">
        <f t="shared" si="83"/>
        <v>0.09688218382</v>
      </c>
      <c r="G226" s="31">
        <f t="shared" ref="G226:G234" si="85">2*F226</f>
        <v>0.1937643676</v>
      </c>
    </row>
    <row r="227" ht="15.75" customHeight="1">
      <c r="A227" s="1"/>
      <c r="B227" s="6">
        <f t="shared" si="84"/>
        <v>80</v>
      </c>
      <c r="C227" s="57">
        <f t="shared" si="80"/>
        <v>20.04881829</v>
      </c>
      <c r="D227" s="57">
        <f t="shared" si="81"/>
        <v>454.3313735</v>
      </c>
      <c r="E227" s="57">
        <f t="shared" si="82"/>
        <v>434.2825552</v>
      </c>
      <c r="F227" s="59">
        <f t="shared" si="83"/>
        <v>0.09572522103</v>
      </c>
      <c r="G227" s="31">
        <f t="shared" si="85"/>
        <v>0.1914504421</v>
      </c>
    </row>
    <row r="228" ht="15.75" customHeight="1">
      <c r="A228" s="1"/>
      <c r="B228" s="6">
        <f t="shared" si="84"/>
        <v>120</v>
      </c>
      <c r="C228" s="57">
        <f t="shared" si="80"/>
        <v>39.97404876</v>
      </c>
      <c r="D228" s="57">
        <f t="shared" si="81"/>
        <v>460.7015932</v>
      </c>
      <c r="E228" s="57">
        <f t="shared" si="82"/>
        <v>420.7275444</v>
      </c>
      <c r="F228" s="59">
        <f t="shared" si="83"/>
        <v>0.09362876958</v>
      </c>
      <c r="G228" s="31">
        <f t="shared" si="85"/>
        <v>0.1872575392</v>
      </c>
    </row>
    <row r="229" ht="15.75" customHeight="1">
      <c r="A229" s="1"/>
      <c r="B229" s="6">
        <f t="shared" si="84"/>
        <v>160</v>
      </c>
      <c r="C229" s="57">
        <f t="shared" si="80"/>
        <v>65.22455451</v>
      </c>
      <c r="D229" s="57">
        <f t="shared" si="81"/>
        <v>467.0718129</v>
      </c>
      <c r="E229" s="57">
        <f t="shared" si="82"/>
        <v>401.8472584</v>
      </c>
      <c r="F229" s="59">
        <f t="shared" si="83"/>
        <v>0.0906864693</v>
      </c>
      <c r="G229" s="31">
        <f t="shared" si="85"/>
        <v>0.1813729386</v>
      </c>
    </row>
    <row r="230" ht="15.75" customHeight="1">
      <c r="A230" s="1"/>
      <c r="B230" s="6">
        <f t="shared" si="84"/>
        <v>200</v>
      </c>
      <c r="C230" s="57">
        <f t="shared" si="80"/>
        <v>95.35469404</v>
      </c>
      <c r="D230" s="57">
        <f t="shared" si="81"/>
        <v>473.4420327</v>
      </c>
      <c r="E230" s="57">
        <f t="shared" si="82"/>
        <v>378.0873386</v>
      </c>
      <c r="F230" s="59">
        <f t="shared" si="83"/>
        <v>0.08694423359</v>
      </c>
      <c r="G230" s="31">
        <f t="shared" si="85"/>
        <v>0.1738884672</v>
      </c>
    </row>
    <row r="231" ht="15.75" customHeight="1">
      <c r="A231" s="1"/>
      <c r="B231" s="6">
        <f t="shared" si="84"/>
        <v>240</v>
      </c>
      <c r="C231" s="57">
        <f t="shared" si="80"/>
        <v>130.0470424</v>
      </c>
      <c r="D231" s="57">
        <f t="shared" si="81"/>
        <v>479.8122524</v>
      </c>
      <c r="E231" s="57">
        <f t="shared" si="82"/>
        <v>349.76521</v>
      </c>
      <c r="F231" s="59">
        <f t="shared" si="83"/>
        <v>0.08242020354</v>
      </c>
      <c r="G231" s="31">
        <f t="shared" si="85"/>
        <v>0.1648404071</v>
      </c>
    </row>
    <row r="232" ht="15.75" customHeight="1">
      <c r="A232" s="1"/>
      <c r="B232" s="6">
        <f t="shared" si="84"/>
        <v>280</v>
      </c>
      <c r="C232" s="57">
        <f t="shared" si="80"/>
        <v>169.058529</v>
      </c>
      <c r="D232" s="57">
        <f t="shared" si="81"/>
        <v>486.1824722</v>
      </c>
      <c r="E232" s="57">
        <f t="shared" si="82"/>
        <v>317.1239431</v>
      </c>
      <c r="F232" s="59">
        <f t="shared" si="83"/>
        <v>0.07710989897</v>
      </c>
      <c r="G232" s="31">
        <f t="shared" si="85"/>
        <v>0.1542197979</v>
      </c>
    </row>
    <row r="233" ht="15.75" customHeight="1">
      <c r="A233" s="1"/>
      <c r="B233" s="6">
        <f t="shared" si="84"/>
        <v>320</v>
      </c>
      <c r="C233" s="57">
        <f t="shared" si="80"/>
        <v>212.1941777</v>
      </c>
      <c r="D233" s="57">
        <f t="shared" si="81"/>
        <v>492.5526919</v>
      </c>
      <c r="E233" s="57">
        <f t="shared" si="82"/>
        <v>280.3585142</v>
      </c>
      <c r="F233" s="59">
        <f t="shared" si="83"/>
        <v>0.07098455948</v>
      </c>
      <c r="G233" s="31">
        <f t="shared" si="85"/>
        <v>0.141969119</v>
      </c>
    </row>
    <row r="234" ht="15.75" customHeight="1">
      <c r="A234" s="1"/>
      <c r="B234" s="6">
        <f t="shared" si="84"/>
        <v>360</v>
      </c>
      <c r="C234" s="57">
        <f t="shared" si="80"/>
        <v>259.2924301</v>
      </c>
      <c r="D234" s="57">
        <f t="shared" si="81"/>
        <v>498.9229117</v>
      </c>
      <c r="E234" s="57">
        <f t="shared" si="82"/>
        <v>239.6304815</v>
      </c>
      <c r="F234" s="59">
        <f t="shared" si="83"/>
        <v>0.06398265743</v>
      </c>
      <c r="G234" s="31">
        <f t="shared" si="85"/>
        <v>0.1279653149</v>
      </c>
    </row>
    <row r="235" ht="15.75" customHeight="1">
      <c r="B235" s="6">
        <f t="shared" si="84"/>
        <v>400</v>
      </c>
      <c r="C235" s="57">
        <f t="shared" si="80"/>
        <v>310.2161609</v>
      </c>
      <c r="D235" s="57">
        <f t="shared" si="81"/>
        <v>505.2931314</v>
      </c>
      <c r="E235" s="57">
        <f t="shared" si="82"/>
        <v>195.0769705</v>
      </c>
      <c r="F235" s="59">
        <f t="shared" si="83"/>
        <v>0.05598910729</v>
      </c>
      <c r="G235" s="31">
        <f>F235</f>
        <v>0.05598910729</v>
      </c>
      <c r="H235" s="60" t="s">
        <v>124</v>
      </c>
    </row>
    <row r="236" ht="15.75" customHeight="1">
      <c r="A236" s="62" t="s">
        <v>125</v>
      </c>
      <c r="B236" s="1">
        <v>10.0</v>
      </c>
      <c r="C236" s="1"/>
      <c r="D236" s="1"/>
      <c r="F236" s="62" t="s">
        <v>126</v>
      </c>
      <c r="G236" s="36">
        <f>SUM(G225:G235)</f>
        <v>1.669567781</v>
      </c>
    </row>
    <row r="237" ht="15.75" customHeight="1">
      <c r="A237" s="1"/>
      <c r="B237" s="1"/>
      <c r="C237" s="1"/>
      <c r="D237" s="1"/>
      <c r="F237" s="63" t="s">
        <v>128</v>
      </c>
      <c r="G237" s="58">
        <f>$B$14*(G236/(2*B236))</f>
        <v>33.39135563</v>
      </c>
    </row>
    <row r="238" ht="15.75" customHeight="1">
      <c r="A238" s="1"/>
      <c r="B238" s="1"/>
      <c r="C238" s="64"/>
      <c r="D238" s="1"/>
      <c r="F238" s="63" t="s">
        <v>131</v>
      </c>
      <c r="G238" s="58">
        <f>((G237-D17*B14)/(C149*J149))*100</f>
        <v>31.32495877</v>
      </c>
    </row>
    <row r="239" ht="15.75" customHeight="1">
      <c r="A239" s="1"/>
      <c r="B239" s="1"/>
      <c r="C239" s="1"/>
      <c r="F239" s="63" t="s">
        <v>132</v>
      </c>
      <c r="G239" s="58">
        <f>100-K149-G238</f>
        <v>4.835866139</v>
      </c>
    </row>
    <row r="240" ht="15.75" customHeight="1">
      <c r="A240" s="1"/>
      <c r="B240" s="1"/>
      <c r="C240" s="1"/>
    </row>
    <row r="241" ht="15.75" customHeight="1">
      <c r="A241" s="1"/>
      <c r="B241" s="1"/>
      <c r="C241" s="1"/>
    </row>
    <row r="242" ht="15.75" customHeight="1">
      <c r="A242" s="1"/>
      <c r="B242" s="1"/>
      <c r="C242" s="1"/>
    </row>
    <row r="243" ht="15.75" customHeight="1">
      <c r="A243" s="1"/>
      <c r="B243" s="1"/>
      <c r="C243" s="1"/>
    </row>
    <row r="244" ht="15.75" customHeight="1">
      <c r="A244" s="1"/>
      <c r="B244" s="1"/>
      <c r="C244" s="1"/>
    </row>
    <row r="245" ht="15.75" customHeight="1">
      <c r="A245" s="1"/>
      <c r="B245" s="1"/>
      <c r="C245" s="1"/>
    </row>
    <row r="246" ht="15.75" customHeight="1">
      <c r="A246" s="1"/>
      <c r="B246" s="1"/>
      <c r="C246" s="1"/>
    </row>
    <row r="247" ht="15.75" customHeight="1">
      <c r="A247" s="1"/>
      <c r="B247" s="1"/>
      <c r="C247" s="1"/>
    </row>
    <row r="248" ht="15.75" customHeight="1">
      <c r="A248" s="1"/>
      <c r="B248" s="1"/>
      <c r="C248" s="1"/>
    </row>
    <row r="249" ht="15.75" customHeight="1">
      <c r="A249" s="1"/>
      <c r="B249" s="1"/>
      <c r="C249" s="1"/>
    </row>
    <row r="250" ht="15.75" customHeight="1">
      <c r="A250" s="1"/>
      <c r="B250" s="1"/>
      <c r="C250" s="1"/>
    </row>
    <row r="251" ht="15.75" customHeight="1">
      <c r="A251" s="1"/>
      <c r="B251" s="1"/>
      <c r="C251" s="1"/>
    </row>
    <row r="252" ht="15.75" customHeight="1">
      <c r="A252" s="1"/>
      <c r="B252" s="1"/>
      <c r="C252" s="1"/>
    </row>
    <row r="253" ht="15.75" customHeight="1">
      <c r="A253" s="1"/>
      <c r="B253" s="1"/>
      <c r="C253" s="1"/>
    </row>
    <row r="254" ht="15.75" customHeight="1">
      <c r="A254" s="1"/>
      <c r="B254" s="1"/>
      <c r="C254" s="1"/>
    </row>
    <row r="255" ht="15.75" customHeight="1">
      <c r="A255" s="1"/>
      <c r="B255" s="1"/>
      <c r="C255" s="1"/>
    </row>
    <row r="256" ht="15.75" customHeight="1">
      <c r="A256" s="1"/>
      <c r="B256" s="1"/>
      <c r="C256" s="1"/>
    </row>
    <row r="257" ht="15.75" customHeight="1">
      <c r="A257" s="1"/>
      <c r="B257" s="1"/>
      <c r="C257" s="1"/>
    </row>
    <row r="258" ht="15.75" customHeight="1">
      <c r="A258" s="1"/>
      <c r="B258" s="1"/>
      <c r="C258" s="1"/>
    </row>
    <row r="259" ht="15.75" customHeight="1">
      <c r="A259" s="1"/>
      <c r="B259" s="1"/>
      <c r="C259" s="1"/>
    </row>
    <row r="260" ht="15.75" customHeight="1">
      <c r="A260" s="1"/>
      <c r="B260" s="1"/>
      <c r="C260" s="1"/>
    </row>
    <row r="261" ht="15.75" customHeight="1">
      <c r="A261" s="1"/>
      <c r="B261" s="1"/>
      <c r="C261" s="1"/>
    </row>
    <row r="262" ht="15.75" customHeight="1">
      <c r="A262" s="1"/>
      <c r="B262" s="1"/>
      <c r="C262" s="1"/>
    </row>
    <row r="263" ht="15.75" customHeight="1">
      <c r="A263" s="1"/>
      <c r="B263" s="1"/>
      <c r="C263" s="1"/>
    </row>
    <row r="264" ht="15.75" customHeight="1">
      <c r="A264" s="1"/>
      <c r="B264" s="1"/>
      <c r="C264" s="1"/>
    </row>
    <row r="265" ht="15.75" customHeight="1">
      <c r="A265" s="1"/>
      <c r="B265" s="1"/>
      <c r="C265" s="1"/>
    </row>
    <row r="266" ht="15.75" customHeight="1">
      <c r="A266" s="1"/>
      <c r="B266" s="1"/>
      <c r="C266" s="1"/>
    </row>
    <row r="267" ht="15.75" customHeight="1">
      <c r="A267" s="1"/>
      <c r="B267" s="1"/>
      <c r="C267" s="1"/>
    </row>
    <row r="268" ht="15.75" customHeight="1">
      <c r="A268" s="1"/>
      <c r="B268" s="1"/>
      <c r="C268" s="1"/>
    </row>
    <row r="269" ht="15.75" customHeight="1">
      <c r="A269" s="1"/>
      <c r="B269" s="1"/>
      <c r="C269" s="1"/>
    </row>
    <row r="270" ht="15.75" customHeight="1">
      <c r="A270" s="1"/>
      <c r="B270" s="1"/>
      <c r="C270" s="1"/>
    </row>
    <row r="271" ht="15.75" customHeight="1">
      <c r="A271" s="1"/>
      <c r="B271" s="1"/>
      <c r="C271" s="1"/>
    </row>
    <row r="272" ht="15.75" customHeight="1">
      <c r="A272" s="1"/>
      <c r="B272" s="1"/>
      <c r="C272" s="1"/>
    </row>
    <row r="273" ht="15.75" customHeight="1">
      <c r="A273" s="1"/>
      <c r="B273" s="1"/>
      <c r="C273" s="1"/>
    </row>
    <row r="274" ht="15.75" customHeight="1">
      <c r="A274" s="1"/>
      <c r="B274" s="1"/>
      <c r="C274" s="1"/>
    </row>
    <row r="275" ht="15.75" customHeight="1">
      <c r="A275" s="1"/>
      <c r="B275" s="1"/>
      <c r="C275" s="1"/>
    </row>
    <row r="276" ht="15.75" customHeight="1">
      <c r="A276" s="1"/>
      <c r="B276" s="1"/>
      <c r="C276" s="1"/>
    </row>
    <row r="277" ht="15.75" customHeight="1">
      <c r="A277" s="1"/>
      <c r="B277" s="1"/>
      <c r="C277" s="1"/>
    </row>
    <row r="278" ht="15.75" customHeight="1">
      <c r="A278" s="1"/>
      <c r="B278" s="1"/>
      <c r="C278" s="1"/>
    </row>
    <row r="279" ht="15.75" customHeight="1">
      <c r="A279" s="1"/>
      <c r="B279" s="1"/>
      <c r="C279" s="1"/>
    </row>
    <row r="280" ht="15.75" customHeight="1">
      <c r="A280" s="1"/>
      <c r="B280" s="1"/>
      <c r="C280" s="1"/>
    </row>
    <row r="281" ht="15.75" customHeight="1">
      <c r="A281" s="1"/>
      <c r="B281" s="1"/>
      <c r="C281" s="1"/>
    </row>
    <row r="282" ht="15.75" customHeight="1">
      <c r="A282" s="1"/>
      <c r="B282" s="1"/>
      <c r="C282" s="1"/>
    </row>
    <row r="283" ht="15.75" customHeight="1">
      <c r="A283" s="1"/>
      <c r="B283" s="1"/>
      <c r="C283" s="1"/>
    </row>
    <row r="284" ht="15.75" customHeight="1">
      <c r="A284" s="1"/>
      <c r="B284" s="1"/>
      <c r="C284" s="1"/>
    </row>
    <row r="285" ht="15.75" customHeight="1">
      <c r="A285" s="1"/>
      <c r="B285" s="1"/>
      <c r="C285" s="1"/>
    </row>
    <row r="286" ht="15.75" customHeight="1">
      <c r="A286" s="1"/>
      <c r="B286" s="1"/>
      <c r="C286" s="1"/>
    </row>
    <row r="287" ht="15.75" customHeight="1">
      <c r="A287" s="1"/>
      <c r="B287" s="1"/>
      <c r="C287" s="1"/>
    </row>
    <row r="288" ht="15.75" customHeight="1">
      <c r="A288" s="1"/>
      <c r="B288" s="1"/>
      <c r="C288" s="1"/>
    </row>
    <row r="289" ht="15.75" customHeight="1">
      <c r="A289" s="1"/>
      <c r="B289" s="1"/>
      <c r="C289" s="1"/>
    </row>
    <row r="290" ht="15.75" customHeight="1">
      <c r="A290" s="1"/>
      <c r="B290" s="1"/>
      <c r="C290" s="1"/>
    </row>
    <row r="291" ht="15.75" customHeight="1">
      <c r="A291" s="1"/>
      <c r="B291" s="1"/>
      <c r="C291" s="1"/>
    </row>
    <row r="292" ht="15.75" customHeight="1">
      <c r="A292" s="1"/>
      <c r="B292" s="1"/>
      <c r="C292" s="1"/>
    </row>
    <row r="293" ht="15.75" customHeight="1">
      <c r="A293" s="1"/>
      <c r="B293" s="1"/>
      <c r="C293" s="1"/>
    </row>
    <row r="294" ht="15.75" customHeight="1">
      <c r="A294" s="1"/>
      <c r="B294" s="1"/>
      <c r="C294" s="1"/>
    </row>
    <row r="295" ht="15.75" customHeight="1">
      <c r="A295" s="1"/>
      <c r="B295" s="1"/>
      <c r="C295" s="1"/>
    </row>
    <row r="296" ht="15.75" customHeight="1">
      <c r="A296" s="1"/>
      <c r="B296" s="1"/>
      <c r="C296" s="1"/>
    </row>
    <row r="297" ht="15.75" customHeight="1">
      <c r="A297" s="1"/>
      <c r="B297" s="1"/>
      <c r="C297" s="1"/>
    </row>
    <row r="298" ht="15.75" customHeight="1">
      <c r="A298" s="1"/>
      <c r="B298" s="1"/>
      <c r="C298" s="1"/>
    </row>
    <row r="299" ht="15.75" customHeight="1">
      <c r="A299" s="1"/>
      <c r="B299" s="1"/>
      <c r="C299" s="1"/>
    </row>
    <row r="300" ht="15.75" customHeight="1">
      <c r="A300" s="1"/>
      <c r="B300" s="1"/>
      <c r="C300" s="1"/>
    </row>
    <row r="301" ht="15.75" customHeight="1">
      <c r="A301" s="1"/>
      <c r="B301" s="1"/>
      <c r="C301" s="1"/>
    </row>
    <row r="302" ht="15.75" customHeight="1">
      <c r="A302" s="1"/>
      <c r="B302" s="1"/>
      <c r="C302" s="1"/>
    </row>
    <row r="303" ht="15.75" customHeight="1">
      <c r="A303" s="1"/>
      <c r="B303" s="1"/>
      <c r="C303" s="1"/>
    </row>
    <row r="304" ht="15.75" customHeight="1">
      <c r="A304" s="1"/>
      <c r="B304" s="1"/>
      <c r="C304" s="1"/>
    </row>
    <row r="305" ht="15.75" customHeight="1">
      <c r="A305" s="1"/>
      <c r="B305" s="1"/>
      <c r="C305" s="1"/>
    </row>
    <row r="306" ht="15.75" customHeight="1">
      <c r="A306" s="1"/>
      <c r="B306" s="1"/>
      <c r="C306" s="1"/>
    </row>
    <row r="307" ht="15.75" customHeight="1">
      <c r="A307" s="1"/>
      <c r="B307" s="1"/>
      <c r="C307" s="1"/>
    </row>
    <row r="308" ht="15.75" customHeight="1">
      <c r="A308" s="1"/>
      <c r="B308" s="1"/>
      <c r="C308" s="1"/>
    </row>
    <row r="309" ht="15.75" customHeight="1">
      <c r="A309" s="1"/>
      <c r="B309" s="1"/>
      <c r="C309" s="1"/>
    </row>
    <row r="310" ht="15.75" customHeight="1">
      <c r="A310" s="1"/>
      <c r="B310" s="1"/>
      <c r="C310" s="1"/>
    </row>
    <row r="311" ht="15.75" customHeight="1">
      <c r="A311" s="1"/>
      <c r="B311" s="1"/>
      <c r="C311" s="1"/>
    </row>
    <row r="312" ht="15.75" customHeight="1">
      <c r="A312" s="1"/>
      <c r="B312" s="1"/>
      <c r="C312" s="1"/>
    </row>
    <row r="313" ht="15.75" customHeight="1">
      <c r="A313" s="1"/>
      <c r="B313" s="1"/>
      <c r="C313" s="1"/>
    </row>
    <row r="314" ht="15.75" customHeight="1">
      <c r="A314" s="1"/>
      <c r="B314" s="1"/>
      <c r="C314" s="1"/>
    </row>
    <row r="315" ht="15.75" customHeight="1">
      <c r="A315" s="1"/>
      <c r="B315" s="1"/>
      <c r="C315" s="1"/>
    </row>
    <row r="316" ht="15.75" customHeight="1">
      <c r="A316" s="1"/>
      <c r="B316" s="1"/>
      <c r="C316" s="1"/>
    </row>
    <row r="317" ht="15.75" customHeight="1">
      <c r="A317" s="1"/>
      <c r="B317" s="1"/>
      <c r="C317" s="1"/>
    </row>
    <row r="318" ht="15.75" customHeight="1">
      <c r="A318" s="1"/>
      <c r="B318" s="1"/>
      <c r="C318" s="1"/>
    </row>
    <row r="319" ht="15.75" customHeight="1">
      <c r="A319" s="1"/>
      <c r="B319" s="1"/>
      <c r="C319" s="1"/>
    </row>
    <row r="320" ht="15.75" customHeight="1">
      <c r="A320" s="1"/>
      <c r="B320" s="1"/>
      <c r="C320" s="1"/>
    </row>
    <row r="321" ht="15.75" customHeight="1">
      <c r="A321" s="1"/>
      <c r="B321" s="1"/>
      <c r="C321" s="1"/>
    </row>
    <row r="322" ht="15.75" customHeight="1">
      <c r="A322" s="1"/>
      <c r="B322" s="1"/>
      <c r="C322" s="1"/>
    </row>
    <row r="323" ht="15.75" customHeight="1">
      <c r="A323" s="1"/>
      <c r="B323" s="1"/>
      <c r="C323" s="1"/>
    </row>
    <row r="324" ht="15.75" customHeight="1">
      <c r="A324" s="1"/>
      <c r="B324" s="1"/>
      <c r="C324" s="1"/>
    </row>
    <row r="325" ht="15.75" customHeight="1">
      <c r="A325" s="1"/>
      <c r="B325" s="1"/>
      <c r="C325" s="1"/>
    </row>
    <row r="326" ht="15.75" customHeight="1">
      <c r="A326" s="1"/>
      <c r="B326" s="1"/>
      <c r="C326" s="1"/>
    </row>
    <row r="327" ht="15.75" customHeight="1">
      <c r="A327" s="1"/>
      <c r="B327" s="1"/>
      <c r="C327" s="1"/>
    </row>
    <row r="328" ht="15.75" customHeight="1">
      <c r="A328" s="1"/>
      <c r="B328" s="1"/>
      <c r="C328" s="1"/>
    </row>
    <row r="329" ht="15.75" customHeight="1">
      <c r="A329" s="1"/>
      <c r="B329" s="1"/>
      <c r="C329" s="1"/>
    </row>
    <row r="330" ht="15.75" customHeight="1">
      <c r="A330" s="1"/>
      <c r="B330" s="1"/>
      <c r="C330" s="1"/>
    </row>
    <row r="331" ht="15.75" customHeight="1">
      <c r="A331" s="1"/>
      <c r="B331" s="1"/>
      <c r="C331" s="1"/>
    </row>
    <row r="332" ht="15.75" customHeight="1">
      <c r="A332" s="1"/>
      <c r="B332" s="1"/>
      <c r="C332" s="1"/>
    </row>
    <row r="333" ht="15.75" customHeight="1">
      <c r="A333" s="1"/>
      <c r="B333" s="1"/>
      <c r="C333" s="1"/>
    </row>
    <row r="334" ht="15.75" customHeight="1">
      <c r="A334" s="1"/>
      <c r="B334" s="1"/>
      <c r="C334" s="1"/>
    </row>
    <row r="335" ht="15.75" customHeight="1">
      <c r="A335" s="1"/>
      <c r="B335" s="1"/>
      <c r="C335" s="1"/>
    </row>
    <row r="336" ht="15.75" customHeight="1">
      <c r="A336" s="1"/>
      <c r="B336" s="1"/>
      <c r="C336" s="1"/>
    </row>
    <row r="337" ht="15.75" customHeight="1">
      <c r="A337" s="1"/>
      <c r="B337" s="1"/>
      <c r="C337" s="1"/>
    </row>
    <row r="338" ht="15.75" customHeight="1">
      <c r="A338" s="1"/>
      <c r="B338" s="1"/>
      <c r="C338" s="1"/>
    </row>
    <row r="339" ht="15.75" customHeight="1">
      <c r="A339" s="1"/>
      <c r="B339" s="1"/>
      <c r="C339" s="1"/>
    </row>
    <row r="340" ht="15.75" customHeight="1">
      <c r="A340" s="1"/>
      <c r="B340" s="1"/>
      <c r="C340" s="1"/>
    </row>
    <row r="341" ht="15.75" customHeight="1">
      <c r="A341" s="1"/>
      <c r="B341" s="1"/>
      <c r="C341" s="1"/>
    </row>
    <row r="342" ht="15.75" customHeight="1">
      <c r="A342" s="1"/>
      <c r="B342" s="1"/>
      <c r="C342" s="1"/>
    </row>
    <row r="343" ht="15.75" customHeight="1">
      <c r="A343" s="1"/>
      <c r="B343" s="1"/>
      <c r="C343" s="1"/>
    </row>
    <row r="344" ht="15.75" customHeight="1">
      <c r="A344" s="1"/>
      <c r="B344" s="1"/>
      <c r="C344" s="1"/>
    </row>
    <row r="345" ht="15.75" customHeight="1">
      <c r="A345" s="1"/>
      <c r="B345" s="1"/>
      <c r="C345" s="1"/>
    </row>
    <row r="346" ht="15.75" customHeight="1">
      <c r="A346" s="1"/>
      <c r="B346" s="1"/>
      <c r="C346" s="1"/>
    </row>
    <row r="347" ht="15.75" customHeight="1">
      <c r="A347" s="1"/>
      <c r="B347" s="1"/>
      <c r="C347" s="1"/>
    </row>
    <row r="348" ht="15.75" customHeight="1">
      <c r="A348" s="1"/>
      <c r="B348" s="1"/>
      <c r="C348" s="1"/>
    </row>
    <row r="349" ht="15.75" customHeight="1">
      <c r="A349" s="1"/>
      <c r="B349" s="1"/>
      <c r="C349" s="1"/>
    </row>
    <row r="350" ht="15.75" customHeight="1">
      <c r="A350" s="1"/>
      <c r="B350" s="1"/>
      <c r="C350" s="1"/>
    </row>
    <row r="351" ht="15.75" customHeight="1">
      <c r="A351" s="1"/>
      <c r="B351" s="1"/>
      <c r="C351" s="1"/>
    </row>
    <row r="352" ht="15.75" customHeight="1">
      <c r="A352" s="1"/>
      <c r="B352" s="1"/>
      <c r="C352" s="1"/>
    </row>
    <row r="353" ht="15.75" customHeight="1">
      <c r="A353" s="1"/>
      <c r="B353" s="1"/>
      <c r="C353" s="1"/>
    </row>
    <row r="354" ht="15.75" customHeight="1">
      <c r="A354" s="1"/>
      <c r="B354" s="1"/>
      <c r="C354" s="1"/>
    </row>
    <row r="355" ht="15.75" customHeight="1">
      <c r="A355" s="1"/>
      <c r="B355" s="1"/>
      <c r="C355" s="1"/>
    </row>
    <row r="356" ht="15.75" customHeight="1">
      <c r="A356" s="1"/>
      <c r="B356" s="1"/>
      <c r="C356" s="1"/>
    </row>
    <row r="357" ht="15.75" customHeight="1">
      <c r="A357" s="1"/>
      <c r="B357" s="1"/>
      <c r="C357" s="1"/>
    </row>
    <row r="358" ht="15.75" customHeight="1">
      <c r="A358" s="1"/>
      <c r="B358" s="1"/>
      <c r="C358" s="1"/>
    </row>
    <row r="359" ht="15.75" customHeight="1">
      <c r="A359" s="1"/>
      <c r="B359" s="1"/>
      <c r="C359" s="1"/>
    </row>
    <row r="360" ht="15.75" customHeight="1">
      <c r="A360" s="1"/>
      <c r="B360" s="1"/>
      <c r="C360" s="1"/>
    </row>
    <row r="361" ht="15.75" customHeight="1">
      <c r="A361" s="1"/>
      <c r="B361" s="1"/>
      <c r="C361" s="1"/>
    </row>
    <row r="362" ht="15.75" customHeight="1">
      <c r="A362" s="1"/>
      <c r="B362" s="1"/>
      <c r="C362" s="1"/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>
      <c r="A393" s="1"/>
      <c r="B393" s="1"/>
      <c r="C393" s="1"/>
    </row>
    <row r="394" ht="15.75" customHeight="1">
      <c r="A394" s="1"/>
      <c r="B394" s="1"/>
      <c r="C394" s="1"/>
    </row>
    <row r="395" ht="15.75" customHeight="1">
      <c r="A395" s="1"/>
      <c r="B395" s="1"/>
      <c r="C395" s="1"/>
    </row>
    <row r="396" ht="15.75" customHeight="1">
      <c r="A396" s="1"/>
      <c r="B396" s="1"/>
      <c r="C396" s="1"/>
    </row>
    <row r="397" ht="15.75" customHeight="1">
      <c r="A397" s="1"/>
      <c r="B397" s="1"/>
      <c r="C397" s="1"/>
    </row>
    <row r="398" ht="15.75" customHeight="1">
      <c r="A398" s="1"/>
      <c r="B398" s="1"/>
      <c r="C398" s="1"/>
    </row>
    <row r="399" ht="15.75" customHeight="1">
      <c r="A399" s="1"/>
      <c r="B399" s="1"/>
      <c r="C399" s="1"/>
    </row>
    <row r="400" ht="15.75" customHeight="1">
      <c r="A400" s="1"/>
      <c r="B400" s="1"/>
      <c r="C400" s="1"/>
    </row>
    <row r="401" ht="15.75" customHeight="1">
      <c r="A401" s="1"/>
      <c r="B401" s="1"/>
      <c r="C401" s="1"/>
    </row>
    <row r="402" ht="15.75" customHeight="1">
      <c r="A402" s="1"/>
      <c r="B402" s="1"/>
      <c r="C402" s="1"/>
    </row>
    <row r="403" ht="15.75" customHeight="1">
      <c r="A403" s="1"/>
      <c r="B403" s="1"/>
      <c r="C403" s="1"/>
    </row>
    <row r="404" ht="15.75" customHeight="1">
      <c r="A404" s="1"/>
      <c r="B404" s="1"/>
      <c r="C404" s="1"/>
    </row>
    <row r="405" ht="15.75" customHeight="1">
      <c r="A405" s="1"/>
      <c r="B405" s="1"/>
      <c r="C405" s="1"/>
    </row>
    <row r="406" ht="15.75" customHeight="1">
      <c r="A406" s="1"/>
      <c r="B406" s="1"/>
      <c r="C406" s="1"/>
    </row>
    <row r="407" ht="15.75" customHeight="1">
      <c r="A407" s="1"/>
      <c r="B407" s="1"/>
      <c r="C407" s="1"/>
    </row>
    <row r="408" ht="15.75" customHeight="1">
      <c r="A408" s="1"/>
      <c r="B408" s="1"/>
      <c r="C408" s="1"/>
    </row>
    <row r="409" ht="15.75" customHeight="1">
      <c r="A409" s="1"/>
      <c r="B409" s="1"/>
      <c r="C409" s="1"/>
    </row>
    <row r="410" ht="15.75" customHeight="1">
      <c r="A410" s="1"/>
      <c r="B410" s="1"/>
      <c r="C410" s="1"/>
    </row>
    <row r="411" ht="15.75" customHeight="1">
      <c r="A411" s="1"/>
      <c r="B411" s="1"/>
      <c r="C411" s="1"/>
    </row>
    <row r="412" ht="15.75" customHeight="1">
      <c r="A412" s="1"/>
      <c r="B412" s="1"/>
      <c r="C412" s="1"/>
    </row>
    <row r="413" ht="15.75" customHeight="1">
      <c r="A413" s="1"/>
      <c r="B413" s="1"/>
      <c r="C413" s="1"/>
    </row>
    <row r="414" ht="15.75" customHeight="1">
      <c r="A414" s="1"/>
      <c r="B414" s="1"/>
      <c r="C414" s="1"/>
    </row>
    <row r="415" ht="15.75" customHeight="1">
      <c r="A415" s="1"/>
      <c r="B415" s="1"/>
      <c r="C415" s="1"/>
    </row>
    <row r="416" ht="15.75" customHeight="1">
      <c r="A416" s="1"/>
      <c r="B416" s="1"/>
      <c r="C416" s="1"/>
    </row>
    <row r="417" ht="15.75" customHeight="1">
      <c r="A417" s="1"/>
      <c r="B417" s="1"/>
      <c r="C417" s="1"/>
    </row>
    <row r="418" ht="15.75" customHeight="1">
      <c r="A418" s="1"/>
      <c r="B418" s="1"/>
      <c r="C418" s="1"/>
    </row>
    <row r="419" ht="15.75" customHeight="1">
      <c r="A419" s="1"/>
      <c r="B419" s="1"/>
      <c r="C419" s="1"/>
    </row>
    <row r="420" ht="15.75" customHeight="1">
      <c r="A420" s="1"/>
      <c r="B420" s="1"/>
      <c r="C420" s="1"/>
    </row>
    <row r="421" ht="15.75" customHeight="1">
      <c r="A421" s="1"/>
      <c r="B421" s="1"/>
      <c r="C421" s="1"/>
    </row>
    <row r="422" ht="15.75" customHeight="1">
      <c r="A422" s="1"/>
      <c r="B422" s="1"/>
      <c r="C422" s="1"/>
    </row>
    <row r="423" ht="15.75" customHeight="1">
      <c r="A423" s="1"/>
      <c r="B423" s="1"/>
      <c r="C423" s="1"/>
    </row>
    <row r="424" ht="15.75" customHeight="1">
      <c r="A424" s="1"/>
      <c r="B424" s="1"/>
      <c r="C424" s="1"/>
    </row>
    <row r="425" ht="15.75" customHeight="1">
      <c r="A425" s="1"/>
      <c r="B425" s="1"/>
      <c r="C425" s="1"/>
    </row>
    <row r="426" ht="15.75" customHeight="1">
      <c r="A426" s="1"/>
      <c r="B426" s="1"/>
      <c r="C426" s="1"/>
    </row>
    <row r="427" ht="15.75" customHeight="1">
      <c r="A427" s="1"/>
      <c r="B427" s="1"/>
      <c r="C427" s="1"/>
    </row>
    <row r="428" ht="15.75" customHeight="1">
      <c r="A428" s="1"/>
      <c r="B428" s="1"/>
      <c r="C428" s="1"/>
    </row>
    <row r="429" ht="15.75" customHeight="1">
      <c r="A429" s="1"/>
      <c r="B429" s="1"/>
      <c r="C429" s="1"/>
    </row>
    <row r="430" ht="15.75" customHeight="1">
      <c r="A430" s="1"/>
      <c r="B430" s="1"/>
      <c r="C430" s="1"/>
    </row>
    <row r="431" ht="15.75" customHeight="1">
      <c r="A431" s="1"/>
      <c r="B431" s="1"/>
      <c r="C431" s="1"/>
    </row>
    <row r="432" ht="15.75" customHeight="1">
      <c r="A432" s="1"/>
      <c r="B432" s="1"/>
      <c r="C432" s="1"/>
    </row>
    <row r="433" ht="15.75" customHeight="1">
      <c r="A433" s="1"/>
      <c r="B433" s="1"/>
      <c r="C433" s="1"/>
    </row>
    <row r="434" ht="15.75" customHeight="1">
      <c r="A434" s="1"/>
      <c r="B434" s="1"/>
      <c r="C434" s="1"/>
    </row>
    <row r="435" ht="15.75" customHeight="1">
      <c r="A435" s="1"/>
      <c r="B435" s="1"/>
      <c r="C435" s="1"/>
    </row>
    <row r="436" ht="15.75" customHeight="1">
      <c r="A436" s="1"/>
      <c r="B436" s="1"/>
      <c r="C436" s="1"/>
    </row>
    <row r="437" ht="15.75" customHeight="1">
      <c r="A437" s="1"/>
      <c r="B437" s="1"/>
      <c r="C437" s="1"/>
    </row>
    <row r="438" ht="15.75" customHeight="1">
      <c r="A438" s="1"/>
      <c r="B438" s="1"/>
      <c r="C438" s="1"/>
    </row>
    <row r="439" ht="15.75" customHeight="1">
      <c r="A439" s="1"/>
      <c r="B439" s="1"/>
      <c r="C439" s="1"/>
    </row>
    <row r="440" ht="15.75" customHeight="1">
      <c r="A440" s="1"/>
      <c r="B440" s="1"/>
      <c r="C440" s="1"/>
    </row>
    <row r="441" ht="15.75" customHeight="1">
      <c r="A441" s="1"/>
      <c r="B441" s="1"/>
      <c r="C441" s="1"/>
    </row>
    <row r="442" ht="15.75" customHeight="1">
      <c r="A442" s="1"/>
      <c r="B442" s="1"/>
      <c r="C442" s="1"/>
    </row>
    <row r="443" ht="15.75" customHeight="1">
      <c r="A443" s="1"/>
      <c r="B443" s="1"/>
      <c r="C443" s="1"/>
    </row>
    <row r="444" ht="15.75" customHeight="1">
      <c r="A444" s="1"/>
      <c r="B444" s="1"/>
      <c r="C444" s="1"/>
    </row>
    <row r="445" ht="15.75" customHeight="1">
      <c r="A445" s="1"/>
      <c r="B445" s="1"/>
      <c r="C445" s="1"/>
    </row>
    <row r="446" ht="15.75" customHeight="1">
      <c r="A446" s="1"/>
      <c r="B446" s="1"/>
      <c r="C446" s="1"/>
    </row>
    <row r="447" ht="15.75" customHeight="1">
      <c r="A447" s="1"/>
      <c r="B447" s="1"/>
      <c r="C447" s="1"/>
    </row>
    <row r="448" ht="15.75" customHeight="1">
      <c r="A448" s="1"/>
      <c r="B448" s="1"/>
      <c r="C448" s="1"/>
    </row>
    <row r="449" ht="15.75" customHeight="1">
      <c r="A449" s="1"/>
      <c r="B449" s="1"/>
      <c r="C449" s="1"/>
    </row>
    <row r="450" ht="15.75" customHeight="1">
      <c r="A450" s="1"/>
      <c r="B450" s="1"/>
      <c r="C450" s="1"/>
    </row>
    <row r="451" ht="15.75" customHeight="1">
      <c r="A451" s="1"/>
      <c r="B451" s="1"/>
      <c r="C451" s="1"/>
    </row>
    <row r="452" ht="15.75" customHeight="1">
      <c r="A452" s="1"/>
      <c r="B452" s="1"/>
      <c r="C452" s="1"/>
    </row>
    <row r="453" ht="15.75" customHeight="1">
      <c r="A453" s="1"/>
      <c r="B453" s="1"/>
      <c r="C453" s="1"/>
    </row>
    <row r="454" ht="15.75" customHeight="1">
      <c r="A454" s="1"/>
      <c r="B454" s="1"/>
      <c r="C454" s="1"/>
    </row>
    <row r="455" ht="15.75" customHeight="1">
      <c r="A455" s="1"/>
      <c r="B455" s="1"/>
      <c r="C455" s="1"/>
    </row>
    <row r="456" ht="15.75" customHeight="1">
      <c r="A456" s="1"/>
      <c r="B456" s="1"/>
      <c r="C456" s="1"/>
    </row>
    <row r="457" ht="15.75" customHeight="1">
      <c r="A457" s="1"/>
      <c r="B457" s="1"/>
      <c r="C457" s="1"/>
    </row>
    <row r="458" ht="15.75" customHeight="1">
      <c r="A458" s="1"/>
      <c r="B458" s="1"/>
      <c r="C458" s="1"/>
    </row>
    <row r="459" ht="15.75" customHeight="1">
      <c r="A459" s="1"/>
      <c r="B459" s="1"/>
      <c r="C459" s="1"/>
    </row>
    <row r="460" ht="15.75" customHeight="1">
      <c r="A460" s="1"/>
      <c r="B460" s="1"/>
      <c r="C460" s="1"/>
    </row>
    <row r="461" ht="15.75" customHeight="1">
      <c r="A461" s="1"/>
      <c r="B461" s="1"/>
      <c r="C461" s="1"/>
    </row>
    <row r="462" ht="15.75" customHeight="1">
      <c r="A462" s="1"/>
      <c r="B462" s="1"/>
      <c r="C462" s="1"/>
    </row>
    <row r="463" ht="15.75" customHeight="1">
      <c r="A463" s="1"/>
      <c r="B463" s="1"/>
      <c r="C463" s="1"/>
    </row>
    <row r="464" ht="15.75" customHeight="1">
      <c r="A464" s="1"/>
      <c r="B464" s="1"/>
      <c r="C464" s="1"/>
    </row>
    <row r="465" ht="15.75" customHeight="1">
      <c r="A465" s="1"/>
      <c r="B465" s="1"/>
      <c r="C465" s="1"/>
    </row>
    <row r="466" ht="15.75" customHeight="1">
      <c r="A466" s="1"/>
      <c r="B466" s="1"/>
      <c r="C466" s="1"/>
    </row>
    <row r="467" ht="15.75" customHeight="1">
      <c r="A467" s="1"/>
      <c r="B467" s="1"/>
      <c r="C467" s="1"/>
    </row>
    <row r="468" ht="15.75" customHeight="1">
      <c r="A468" s="1"/>
      <c r="B468" s="1"/>
      <c r="C468" s="1"/>
    </row>
    <row r="469" ht="15.75" customHeight="1">
      <c r="A469" s="1"/>
      <c r="B469" s="1"/>
      <c r="C469" s="1"/>
    </row>
    <row r="470" ht="15.75" customHeight="1">
      <c r="A470" s="1"/>
      <c r="B470" s="1"/>
      <c r="C470" s="1"/>
    </row>
    <row r="471" ht="15.75" customHeight="1">
      <c r="A471" s="1"/>
      <c r="B471" s="1"/>
      <c r="C471" s="1"/>
    </row>
    <row r="472" ht="15.75" customHeight="1">
      <c r="A472" s="1"/>
      <c r="B472" s="1"/>
      <c r="C472" s="1"/>
    </row>
    <row r="473" ht="15.75" customHeight="1">
      <c r="A473" s="1"/>
      <c r="B473" s="1"/>
      <c r="C473" s="1"/>
    </row>
    <row r="474" ht="15.75" customHeight="1">
      <c r="A474" s="1"/>
      <c r="B474" s="1"/>
      <c r="C474" s="1"/>
    </row>
    <row r="475" ht="15.75" customHeight="1">
      <c r="A475" s="1"/>
      <c r="B475" s="1"/>
      <c r="C475" s="1"/>
    </row>
    <row r="476" ht="15.75" customHeight="1">
      <c r="A476" s="1"/>
      <c r="B476" s="1"/>
      <c r="C476" s="1"/>
    </row>
    <row r="477" ht="15.75" customHeight="1">
      <c r="A477" s="1"/>
      <c r="B477" s="1"/>
      <c r="C477" s="1"/>
    </row>
    <row r="478" ht="15.75" customHeight="1">
      <c r="A478" s="1"/>
      <c r="B478" s="1"/>
      <c r="C478" s="1"/>
    </row>
    <row r="479" ht="15.75" customHeight="1">
      <c r="A479" s="1"/>
      <c r="B479" s="1"/>
      <c r="C479" s="1"/>
    </row>
    <row r="480" ht="15.75" customHeight="1">
      <c r="A480" s="1"/>
      <c r="B480" s="1"/>
      <c r="C480" s="1"/>
    </row>
    <row r="481" ht="15.75" customHeight="1">
      <c r="A481" s="1"/>
      <c r="B481" s="1"/>
      <c r="C481" s="1"/>
    </row>
    <row r="482" ht="15.75" customHeight="1">
      <c r="A482" s="1"/>
      <c r="B482" s="1"/>
      <c r="C482" s="1"/>
    </row>
    <row r="483" ht="15.75" customHeight="1">
      <c r="A483" s="1"/>
      <c r="B483" s="1"/>
      <c r="C483" s="1"/>
    </row>
    <row r="484" ht="15.75" customHeight="1">
      <c r="A484" s="1"/>
      <c r="B484" s="1"/>
      <c r="C484" s="1"/>
    </row>
    <row r="485" ht="15.75" customHeight="1">
      <c r="A485" s="1"/>
      <c r="B485" s="1"/>
      <c r="C485" s="1"/>
    </row>
    <row r="486" ht="15.75" customHeight="1">
      <c r="A486" s="1"/>
      <c r="B486" s="1"/>
      <c r="C486" s="1"/>
    </row>
    <row r="487" ht="15.75" customHeight="1">
      <c r="A487" s="1"/>
      <c r="B487" s="1"/>
      <c r="C487" s="1"/>
    </row>
    <row r="488" ht="15.75" customHeight="1">
      <c r="A488" s="1"/>
      <c r="B488" s="1"/>
      <c r="C488" s="1"/>
    </row>
    <row r="489" ht="15.75" customHeight="1">
      <c r="A489" s="1"/>
      <c r="B489" s="1"/>
      <c r="C489" s="1"/>
    </row>
    <row r="490" ht="15.75" customHeight="1">
      <c r="A490" s="1"/>
      <c r="B490" s="1"/>
      <c r="C490" s="1"/>
    </row>
    <row r="491" ht="15.75" customHeight="1">
      <c r="A491" s="1"/>
      <c r="B491" s="1"/>
      <c r="C491" s="1"/>
    </row>
    <row r="492" ht="15.75" customHeight="1">
      <c r="A492" s="1"/>
      <c r="B492" s="1"/>
      <c r="C492" s="1"/>
    </row>
    <row r="493" ht="15.75" customHeight="1">
      <c r="A493" s="1"/>
      <c r="B493" s="1"/>
      <c r="C493" s="1"/>
    </row>
    <row r="494" ht="15.75" customHeight="1">
      <c r="A494" s="1"/>
      <c r="B494" s="1"/>
      <c r="C494" s="1"/>
    </row>
    <row r="495" ht="15.75" customHeight="1">
      <c r="A495" s="1"/>
      <c r="B495" s="1"/>
      <c r="C495" s="1"/>
    </row>
    <row r="496" ht="15.75" customHeight="1">
      <c r="A496" s="1"/>
      <c r="B496" s="1"/>
      <c r="C496" s="1"/>
    </row>
    <row r="497" ht="15.75" customHeight="1">
      <c r="A497" s="1"/>
      <c r="B497" s="1"/>
      <c r="C497" s="1"/>
    </row>
    <row r="498" ht="15.75" customHeight="1">
      <c r="A498" s="1"/>
      <c r="B498" s="1"/>
      <c r="C498" s="1"/>
    </row>
    <row r="499" ht="15.75" customHeight="1">
      <c r="A499" s="1"/>
      <c r="B499" s="1"/>
      <c r="C499" s="1"/>
    </row>
    <row r="500" ht="15.75" customHeight="1">
      <c r="A500" s="1"/>
      <c r="B500" s="1"/>
      <c r="C500" s="1"/>
    </row>
    <row r="501" ht="15.75" customHeight="1">
      <c r="A501" s="1"/>
      <c r="B501" s="1"/>
      <c r="C501" s="1"/>
    </row>
    <row r="502" ht="15.75" customHeight="1">
      <c r="A502" s="1"/>
      <c r="B502" s="1"/>
      <c r="C502" s="1"/>
    </row>
    <row r="503" ht="15.75" customHeight="1">
      <c r="A503" s="1"/>
      <c r="B503" s="1"/>
      <c r="C503" s="1"/>
    </row>
    <row r="504" ht="15.75" customHeight="1">
      <c r="A504" s="1"/>
      <c r="B504" s="1"/>
      <c r="C504" s="1"/>
    </row>
    <row r="505" ht="15.75" customHeight="1">
      <c r="A505" s="1"/>
      <c r="B505" s="1"/>
      <c r="C505" s="1"/>
    </row>
    <row r="506" ht="15.75" customHeight="1">
      <c r="A506" s="1"/>
      <c r="B506" s="1"/>
      <c r="C506" s="1"/>
    </row>
    <row r="507" ht="15.75" customHeight="1">
      <c r="A507" s="1"/>
      <c r="B507" s="1"/>
      <c r="C507" s="1"/>
    </row>
    <row r="508" ht="15.75" customHeight="1">
      <c r="A508" s="1"/>
      <c r="B508" s="1"/>
      <c r="C508" s="1"/>
    </row>
    <row r="509" ht="15.75" customHeight="1">
      <c r="A509" s="1"/>
      <c r="B509" s="1"/>
      <c r="C509" s="1"/>
    </row>
    <row r="510" ht="15.75" customHeight="1">
      <c r="A510" s="1"/>
      <c r="B510" s="1"/>
      <c r="C510" s="1"/>
    </row>
    <row r="511" ht="15.75" customHeight="1">
      <c r="A511" s="1"/>
      <c r="B511" s="1"/>
      <c r="C511" s="1"/>
    </row>
    <row r="512" ht="15.75" customHeight="1">
      <c r="A512" s="1"/>
      <c r="B512" s="1"/>
      <c r="C512" s="1"/>
    </row>
    <row r="513" ht="15.75" customHeight="1">
      <c r="A513" s="1"/>
      <c r="B513" s="1"/>
      <c r="C513" s="1"/>
    </row>
    <row r="514" ht="15.75" customHeight="1">
      <c r="A514" s="1"/>
      <c r="B514" s="1"/>
      <c r="C514" s="1"/>
    </row>
    <row r="515" ht="15.75" customHeight="1">
      <c r="A515" s="1"/>
      <c r="B515" s="1"/>
      <c r="C515" s="1"/>
    </row>
    <row r="516" ht="15.75" customHeight="1">
      <c r="A516" s="1"/>
      <c r="B516" s="1"/>
      <c r="C516" s="1"/>
    </row>
    <row r="517" ht="15.75" customHeight="1">
      <c r="A517" s="1"/>
      <c r="B517" s="1"/>
      <c r="C517" s="1"/>
    </row>
    <row r="518" ht="15.75" customHeight="1">
      <c r="A518" s="1"/>
      <c r="B518" s="1"/>
      <c r="C518" s="1"/>
    </row>
    <row r="519" ht="15.75" customHeight="1">
      <c r="A519" s="1"/>
      <c r="B519" s="1"/>
      <c r="C519" s="1"/>
    </row>
    <row r="520" ht="15.75" customHeight="1">
      <c r="A520" s="1"/>
      <c r="B520" s="1"/>
      <c r="C520" s="1"/>
    </row>
    <row r="521" ht="15.75" customHeight="1">
      <c r="A521" s="1"/>
      <c r="B521" s="1"/>
      <c r="C521" s="1"/>
    </row>
    <row r="522" ht="15.75" customHeight="1">
      <c r="A522" s="1"/>
      <c r="B522" s="1"/>
      <c r="C522" s="1"/>
    </row>
    <row r="523" ht="15.75" customHeight="1">
      <c r="A523" s="1"/>
      <c r="B523" s="1"/>
      <c r="C523" s="1"/>
    </row>
    <row r="524" ht="15.75" customHeight="1">
      <c r="A524" s="1"/>
      <c r="B524" s="1"/>
      <c r="C524" s="1"/>
    </row>
    <row r="525" ht="15.75" customHeight="1">
      <c r="A525" s="1"/>
      <c r="B525" s="1"/>
      <c r="C525" s="1"/>
    </row>
    <row r="526" ht="15.75" customHeight="1">
      <c r="A526" s="1"/>
      <c r="B526" s="1"/>
      <c r="C526" s="1"/>
    </row>
    <row r="527" ht="15.75" customHeight="1">
      <c r="A527" s="1"/>
      <c r="B527" s="1"/>
      <c r="C527" s="1"/>
    </row>
    <row r="528" ht="15.75" customHeight="1">
      <c r="A528" s="1"/>
      <c r="B528" s="1"/>
      <c r="C528" s="1"/>
    </row>
    <row r="529" ht="15.75" customHeight="1">
      <c r="A529" s="1"/>
      <c r="B529" s="1"/>
      <c r="C529" s="1"/>
    </row>
    <row r="530" ht="15.75" customHeight="1">
      <c r="A530" s="1"/>
      <c r="B530" s="1"/>
      <c r="C530" s="1"/>
    </row>
    <row r="531" ht="15.75" customHeight="1">
      <c r="A531" s="1"/>
      <c r="B531" s="1"/>
      <c r="C531" s="1"/>
    </row>
    <row r="532" ht="15.75" customHeight="1">
      <c r="A532" s="1"/>
      <c r="B532" s="1"/>
      <c r="C532" s="1"/>
    </row>
    <row r="533" ht="15.75" customHeight="1">
      <c r="A533" s="1"/>
      <c r="B533" s="1"/>
      <c r="C533" s="1"/>
    </row>
    <row r="534" ht="15.75" customHeight="1">
      <c r="A534" s="1"/>
      <c r="B534" s="1"/>
      <c r="C534" s="1"/>
    </row>
    <row r="535" ht="15.75" customHeight="1">
      <c r="A535" s="1"/>
      <c r="B535" s="1"/>
      <c r="C535" s="1"/>
    </row>
    <row r="536" ht="15.75" customHeight="1">
      <c r="A536" s="1"/>
      <c r="B536" s="1"/>
      <c r="C536" s="1"/>
    </row>
    <row r="537" ht="15.75" customHeight="1">
      <c r="A537" s="1"/>
      <c r="B537" s="1"/>
      <c r="C537" s="1"/>
    </row>
    <row r="538" ht="15.75" customHeight="1">
      <c r="A538" s="1"/>
      <c r="B538" s="1"/>
      <c r="C538" s="1"/>
    </row>
    <row r="539" ht="15.75" customHeight="1">
      <c r="A539" s="1"/>
      <c r="B539" s="1"/>
      <c r="C539" s="1"/>
    </row>
    <row r="540" ht="15.75" customHeight="1">
      <c r="A540" s="1"/>
      <c r="B540" s="1"/>
      <c r="C540" s="1"/>
    </row>
    <row r="541" ht="15.75" customHeight="1">
      <c r="A541" s="1"/>
      <c r="B541" s="1"/>
      <c r="C541" s="1"/>
    </row>
    <row r="542" ht="15.75" customHeight="1">
      <c r="A542" s="1"/>
      <c r="B542" s="1"/>
      <c r="C542" s="1"/>
    </row>
    <row r="543" ht="15.75" customHeight="1">
      <c r="A543" s="1"/>
      <c r="B543" s="1"/>
      <c r="C543" s="1"/>
    </row>
    <row r="544" ht="15.75" customHeight="1">
      <c r="A544" s="1"/>
      <c r="B544" s="1"/>
      <c r="C544" s="1"/>
    </row>
    <row r="545" ht="15.75" customHeight="1">
      <c r="A545" s="1"/>
      <c r="B545" s="1"/>
      <c r="C545" s="1"/>
    </row>
    <row r="546" ht="15.75" customHeight="1">
      <c r="A546" s="1"/>
      <c r="B546" s="1"/>
      <c r="C546" s="1"/>
    </row>
    <row r="547" ht="15.75" customHeight="1">
      <c r="A547" s="1"/>
      <c r="B547" s="1"/>
      <c r="C547" s="1"/>
    </row>
    <row r="548" ht="15.75" customHeight="1">
      <c r="A548" s="1"/>
      <c r="B548" s="1"/>
      <c r="C548" s="1"/>
    </row>
    <row r="549" ht="15.75" customHeight="1">
      <c r="A549" s="1"/>
      <c r="B549" s="1"/>
      <c r="C549" s="1"/>
    </row>
    <row r="550" ht="15.75" customHeight="1">
      <c r="A550" s="1"/>
      <c r="B550" s="1"/>
      <c r="C550" s="1"/>
    </row>
    <row r="551" ht="15.75" customHeight="1">
      <c r="A551" s="1"/>
      <c r="B551" s="1"/>
      <c r="C551" s="1"/>
    </row>
    <row r="552" ht="15.75" customHeight="1">
      <c r="A552" s="1"/>
      <c r="B552" s="1"/>
      <c r="C552" s="1"/>
    </row>
    <row r="553" ht="15.75" customHeight="1">
      <c r="A553" s="1"/>
      <c r="B553" s="1"/>
      <c r="C553" s="1"/>
    </row>
    <row r="554" ht="15.75" customHeight="1">
      <c r="A554" s="1"/>
      <c r="B554" s="1"/>
      <c r="C554" s="1"/>
    </row>
    <row r="555" ht="15.75" customHeight="1">
      <c r="A555" s="1"/>
      <c r="B555" s="1"/>
      <c r="C555" s="1"/>
    </row>
    <row r="556" ht="15.75" customHeight="1">
      <c r="A556" s="1"/>
      <c r="B556" s="1"/>
      <c r="C556" s="1"/>
    </row>
    <row r="557" ht="15.75" customHeight="1">
      <c r="A557" s="1"/>
      <c r="B557" s="1"/>
      <c r="C557" s="1"/>
    </row>
    <row r="558" ht="15.75" customHeight="1">
      <c r="A558" s="1"/>
      <c r="B558" s="1"/>
      <c r="C558" s="1"/>
    </row>
    <row r="559" ht="15.75" customHeight="1">
      <c r="A559" s="1"/>
      <c r="B559" s="1"/>
      <c r="C559" s="1"/>
    </row>
    <row r="560" ht="15.75" customHeight="1">
      <c r="A560" s="1"/>
      <c r="B560" s="1"/>
      <c r="C560" s="1"/>
    </row>
    <row r="561" ht="15.75" customHeight="1">
      <c r="A561" s="1"/>
      <c r="B561" s="1"/>
      <c r="C561" s="1"/>
    </row>
    <row r="562" ht="15.75" customHeight="1">
      <c r="A562" s="1"/>
      <c r="B562" s="1"/>
      <c r="C562" s="1"/>
    </row>
    <row r="563" ht="15.75" customHeight="1">
      <c r="A563" s="1"/>
      <c r="B563" s="1"/>
      <c r="C563" s="1"/>
    </row>
    <row r="564" ht="15.75" customHeight="1">
      <c r="A564" s="1"/>
      <c r="B564" s="1"/>
      <c r="C564" s="1"/>
    </row>
    <row r="565" ht="15.75" customHeight="1">
      <c r="A565" s="1"/>
      <c r="B565" s="1"/>
      <c r="C565" s="1"/>
    </row>
    <row r="566" ht="15.75" customHeight="1">
      <c r="A566" s="1"/>
      <c r="B566" s="1"/>
      <c r="C566" s="1"/>
    </row>
    <row r="567" ht="15.75" customHeight="1">
      <c r="A567" s="1"/>
      <c r="B567" s="1"/>
      <c r="C567" s="1"/>
    </row>
    <row r="568" ht="15.75" customHeight="1">
      <c r="A568" s="1"/>
      <c r="B568" s="1"/>
      <c r="C568" s="1"/>
    </row>
    <row r="569" ht="15.75" customHeight="1">
      <c r="A569" s="1"/>
      <c r="B569" s="1"/>
      <c r="C569" s="1"/>
    </row>
    <row r="570" ht="15.75" customHeight="1">
      <c r="A570" s="1"/>
      <c r="B570" s="1"/>
      <c r="C570" s="1"/>
    </row>
    <row r="571" ht="15.75" customHeight="1">
      <c r="A571" s="1"/>
      <c r="B571" s="1"/>
      <c r="C571" s="1"/>
    </row>
    <row r="572" ht="15.75" customHeight="1">
      <c r="A572" s="1"/>
      <c r="B572" s="1"/>
      <c r="C572" s="1"/>
    </row>
    <row r="573" ht="15.75" customHeight="1">
      <c r="A573" s="1"/>
      <c r="B573" s="1"/>
      <c r="C573" s="1"/>
    </row>
    <row r="574" ht="15.75" customHeight="1">
      <c r="A574" s="1"/>
      <c r="B574" s="1"/>
      <c r="C574" s="1"/>
    </row>
    <row r="575" ht="15.75" customHeight="1">
      <c r="A575" s="1"/>
      <c r="B575" s="1"/>
      <c r="C575" s="1"/>
    </row>
    <row r="576" ht="15.75" customHeight="1">
      <c r="A576" s="1"/>
      <c r="B576" s="1"/>
      <c r="C576" s="1"/>
    </row>
    <row r="577" ht="15.75" customHeight="1">
      <c r="A577" s="1"/>
      <c r="B577" s="1"/>
      <c r="C577" s="1"/>
    </row>
    <row r="578" ht="15.75" customHeight="1">
      <c r="A578" s="1"/>
      <c r="B578" s="1"/>
      <c r="C578" s="1"/>
    </row>
    <row r="579" ht="15.75" customHeight="1">
      <c r="A579" s="1"/>
      <c r="B579" s="1"/>
      <c r="C579" s="1"/>
    </row>
    <row r="580" ht="15.75" customHeight="1">
      <c r="A580" s="1"/>
      <c r="B580" s="1"/>
      <c r="C580" s="1"/>
    </row>
    <row r="581" ht="15.75" customHeight="1">
      <c r="A581" s="1"/>
      <c r="B581" s="1"/>
      <c r="C581" s="1"/>
    </row>
    <row r="582" ht="15.75" customHeight="1">
      <c r="A582" s="1"/>
      <c r="B582" s="1"/>
      <c r="C582" s="1"/>
    </row>
    <row r="583" ht="15.75" customHeight="1">
      <c r="A583" s="1"/>
      <c r="B583" s="1"/>
      <c r="C583" s="1"/>
    </row>
    <row r="584" ht="15.75" customHeight="1">
      <c r="A584" s="1"/>
      <c r="B584" s="1"/>
      <c r="C584" s="1"/>
    </row>
    <row r="585" ht="15.75" customHeight="1">
      <c r="A585" s="1"/>
      <c r="B585" s="1"/>
      <c r="C585" s="1"/>
    </row>
    <row r="586" ht="15.75" customHeight="1">
      <c r="A586" s="1"/>
      <c r="B586" s="1"/>
      <c r="C586" s="1"/>
    </row>
    <row r="587" ht="15.75" customHeight="1">
      <c r="A587" s="1"/>
      <c r="B587" s="1"/>
      <c r="C587" s="1"/>
    </row>
    <row r="588" ht="15.75" customHeight="1">
      <c r="A588" s="1"/>
      <c r="B588" s="1"/>
      <c r="C588" s="1"/>
    </row>
    <row r="589" ht="15.75" customHeight="1">
      <c r="A589" s="1"/>
      <c r="B589" s="1"/>
      <c r="C589" s="1"/>
    </row>
    <row r="590" ht="15.75" customHeight="1">
      <c r="A590" s="1"/>
      <c r="B590" s="1"/>
      <c r="C590" s="1"/>
    </row>
    <row r="591" ht="15.75" customHeight="1">
      <c r="A591" s="1"/>
      <c r="B591" s="1"/>
      <c r="C591" s="1"/>
    </row>
    <row r="592" ht="15.75" customHeight="1">
      <c r="A592" s="1"/>
      <c r="B592" s="1"/>
      <c r="C592" s="1"/>
    </row>
    <row r="593" ht="15.75" customHeight="1">
      <c r="A593" s="1"/>
      <c r="B593" s="1"/>
      <c r="C593" s="1"/>
    </row>
    <row r="594" ht="15.75" customHeight="1">
      <c r="A594" s="1"/>
      <c r="B594" s="1"/>
      <c r="C594" s="1"/>
    </row>
    <row r="595" ht="15.75" customHeight="1">
      <c r="A595" s="1"/>
      <c r="B595" s="1"/>
      <c r="C595" s="1"/>
    </row>
    <row r="596" ht="15.75" customHeight="1">
      <c r="A596" s="1"/>
      <c r="B596" s="1"/>
      <c r="C596" s="1"/>
    </row>
    <row r="597" ht="15.75" customHeight="1">
      <c r="A597" s="1"/>
      <c r="B597" s="1"/>
      <c r="C597" s="1"/>
    </row>
    <row r="598" ht="15.75" customHeight="1">
      <c r="A598" s="1"/>
      <c r="B598" s="1"/>
      <c r="C598" s="1"/>
    </row>
    <row r="599" ht="15.75" customHeight="1">
      <c r="A599" s="1"/>
      <c r="B599" s="1"/>
      <c r="C599" s="1"/>
    </row>
    <row r="600" ht="15.75" customHeight="1">
      <c r="A600" s="1"/>
      <c r="B600" s="1"/>
      <c r="C600" s="1"/>
    </row>
    <row r="601" ht="15.75" customHeight="1">
      <c r="A601" s="1"/>
      <c r="B601" s="1"/>
      <c r="C601" s="1"/>
    </row>
    <row r="602" ht="15.75" customHeight="1">
      <c r="A602" s="1"/>
      <c r="B602" s="1"/>
      <c r="C602" s="1"/>
    </row>
    <row r="603" ht="15.75" customHeight="1">
      <c r="A603" s="1"/>
      <c r="B603" s="1"/>
      <c r="C603" s="1"/>
    </row>
    <row r="604" ht="15.75" customHeight="1">
      <c r="A604" s="1"/>
      <c r="B604" s="1"/>
      <c r="C604" s="1"/>
    </row>
    <row r="605" ht="15.75" customHeight="1">
      <c r="A605" s="1"/>
      <c r="B605" s="1"/>
      <c r="C605" s="1"/>
    </row>
    <row r="606" ht="15.75" customHeight="1">
      <c r="A606" s="1"/>
      <c r="B606" s="1"/>
      <c r="C606" s="1"/>
    </row>
    <row r="607" ht="15.75" customHeight="1">
      <c r="A607" s="1"/>
      <c r="B607" s="1"/>
      <c r="C607" s="1"/>
    </row>
    <row r="608" ht="15.75" customHeight="1">
      <c r="A608" s="1"/>
      <c r="B608" s="1"/>
      <c r="C608" s="1"/>
    </row>
    <row r="609" ht="15.75" customHeight="1">
      <c r="A609" s="1"/>
      <c r="B609" s="1"/>
      <c r="C609" s="1"/>
    </row>
    <row r="610" ht="15.75" customHeight="1">
      <c r="A610" s="1"/>
      <c r="B610" s="1"/>
      <c r="C610" s="1"/>
    </row>
    <row r="611" ht="15.75" customHeight="1">
      <c r="A611" s="1"/>
      <c r="B611" s="1"/>
      <c r="C611" s="1"/>
    </row>
    <row r="612" ht="15.75" customHeight="1">
      <c r="A612" s="1"/>
      <c r="B612" s="1"/>
      <c r="C612" s="1"/>
    </row>
    <row r="613" ht="15.75" customHeight="1">
      <c r="A613" s="1"/>
      <c r="B613" s="1"/>
      <c r="C613" s="1"/>
    </row>
    <row r="614" ht="15.75" customHeight="1">
      <c r="A614" s="1"/>
      <c r="B614" s="1"/>
      <c r="C614" s="1"/>
    </row>
    <row r="615" ht="15.75" customHeight="1">
      <c r="A615" s="1"/>
      <c r="B615" s="1"/>
      <c r="C615" s="1"/>
    </row>
    <row r="616" ht="15.75" customHeight="1">
      <c r="A616" s="1"/>
      <c r="B616" s="1"/>
      <c r="C616" s="1"/>
    </row>
    <row r="617" ht="15.75" customHeight="1">
      <c r="A617" s="1"/>
      <c r="B617" s="1"/>
      <c r="C617" s="1"/>
    </row>
    <row r="618" ht="15.75" customHeight="1">
      <c r="A618" s="1"/>
      <c r="B618" s="1"/>
      <c r="C618" s="1"/>
    </row>
    <row r="619" ht="15.75" customHeight="1">
      <c r="A619" s="1"/>
      <c r="B619" s="1"/>
      <c r="C619" s="1"/>
    </row>
    <row r="620" ht="15.75" customHeight="1">
      <c r="A620" s="1"/>
      <c r="B620" s="1"/>
      <c r="C620" s="1"/>
    </row>
    <row r="621" ht="15.75" customHeight="1">
      <c r="A621" s="1"/>
      <c r="B621" s="1"/>
      <c r="C621" s="1"/>
    </row>
    <row r="622" ht="15.75" customHeight="1">
      <c r="A622" s="1"/>
      <c r="B622" s="1"/>
      <c r="C622" s="1"/>
    </row>
    <row r="623" ht="15.75" customHeight="1">
      <c r="A623" s="1"/>
      <c r="B623" s="1"/>
      <c r="C623" s="1"/>
    </row>
    <row r="624" ht="15.75" customHeight="1">
      <c r="A624" s="1"/>
      <c r="B624" s="1"/>
      <c r="C624" s="1"/>
    </row>
    <row r="625" ht="15.75" customHeight="1">
      <c r="A625" s="1"/>
      <c r="B625" s="1"/>
      <c r="C625" s="1"/>
    </row>
    <row r="626" ht="15.75" customHeight="1">
      <c r="A626" s="1"/>
      <c r="B626" s="1"/>
      <c r="C626" s="1"/>
    </row>
    <row r="627" ht="15.75" customHeight="1">
      <c r="A627" s="1"/>
      <c r="B627" s="1"/>
      <c r="C627" s="1"/>
    </row>
    <row r="628" ht="15.75" customHeight="1">
      <c r="A628" s="1"/>
      <c r="B628" s="1"/>
      <c r="C628" s="1"/>
    </row>
    <row r="629" ht="15.75" customHeight="1">
      <c r="A629" s="1"/>
      <c r="B629" s="1"/>
      <c r="C629" s="1"/>
    </row>
    <row r="630" ht="15.75" customHeight="1">
      <c r="A630" s="1"/>
      <c r="B630" s="1"/>
      <c r="C630" s="1"/>
    </row>
    <row r="631" ht="15.75" customHeight="1">
      <c r="A631" s="1"/>
      <c r="B631" s="1"/>
      <c r="C631" s="1"/>
    </row>
    <row r="632" ht="15.75" customHeight="1">
      <c r="A632" s="1"/>
      <c r="B632" s="1"/>
      <c r="C632" s="1"/>
    </row>
    <row r="633" ht="15.75" customHeight="1">
      <c r="A633" s="1"/>
      <c r="B633" s="1"/>
      <c r="C633" s="1"/>
    </row>
    <row r="634" ht="15.75" customHeight="1">
      <c r="A634" s="1"/>
      <c r="B634" s="1"/>
      <c r="C634" s="1"/>
    </row>
    <row r="635" ht="15.75" customHeight="1">
      <c r="A635" s="1"/>
      <c r="B635" s="1"/>
      <c r="C635" s="1"/>
    </row>
    <row r="636" ht="15.75" customHeight="1">
      <c r="A636" s="1"/>
      <c r="B636" s="1"/>
      <c r="C636" s="1"/>
    </row>
    <row r="637" ht="15.75" customHeight="1">
      <c r="A637" s="1"/>
      <c r="B637" s="1"/>
      <c r="C637" s="1"/>
    </row>
    <row r="638" ht="15.75" customHeight="1">
      <c r="A638" s="1"/>
      <c r="B638" s="1"/>
      <c r="C638" s="1"/>
    </row>
    <row r="639" ht="15.75" customHeight="1">
      <c r="A639" s="1"/>
      <c r="B639" s="1"/>
      <c r="C639" s="1"/>
    </row>
    <row r="640" ht="15.75" customHeight="1">
      <c r="A640" s="1"/>
      <c r="B640" s="1"/>
      <c r="C640" s="1"/>
    </row>
    <row r="641" ht="15.75" customHeight="1">
      <c r="A641" s="1"/>
      <c r="B641" s="1"/>
      <c r="C641" s="1"/>
    </row>
    <row r="642" ht="15.75" customHeight="1">
      <c r="A642" s="1"/>
      <c r="B642" s="1"/>
      <c r="C642" s="1"/>
    </row>
    <row r="643" ht="15.75" customHeight="1">
      <c r="A643" s="1"/>
      <c r="B643" s="1"/>
      <c r="C643" s="1"/>
    </row>
    <row r="644" ht="15.75" customHeight="1">
      <c r="A644" s="1"/>
      <c r="B644" s="1"/>
      <c r="C644" s="1"/>
    </row>
    <row r="645" ht="15.75" customHeight="1">
      <c r="A645" s="1"/>
      <c r="B645" s="1"/>
      <c r="C645" s="1"/>
    </row>
    <row r="646" ht="15.75" customHeight="1">
      <c r="A646" s="1"/>
      <c r="B646" s="1"/>
      <c r="C646" s="1"/>
    </row>
    <row r="647" ht="15.75" customHeight="1">
      <c r="A647" s="1"/>
      <c r="B647" s="1"/>
      <c r="C647" s="1"/>
    </row>
    <row r="648" ht="15.75" customHeight="1">
      <c r="A648" s="1"/>
      <c r="B648" s="1"/>
      <c r="C648" s="1"/>
    </row>
    <row r="649" ht="15.75" customHeight="1">
      <c r="A649" s="1"/>
      <c r="B649" s="1"/>
      <c r="C649" s="1"/>
    </row>
    <row r="650" ht="15.75" customHeight="1">
      <c r="A650" s="1"/>
      <c r="B650" s="1"/>
      <c r="C650" s="1"/>
    </row>
    <row r="651" ht="15.75" customHeight="1">
      <c r="A651" s="1"/>
      <c r="B651" s="1"/>
      <c r="C651" s="1"/>
    </row>
    <row r="652" ht="15.75" customHeight="1">
      <c r="A652" s="1"/>
      <c r="B652" s="1"/>
      <c r="C652" s="1"/>
    </row>
    <row r="653" ht="15.75" customHeight="1">
      <c r="A653" s="1"/>
      <c r="B653" s="1"/>
      <c r="C653" s="1"/>
    </row>
    <row r="654" ht="15.75" customHeight="1">
      <c r="A654" s="1"/>
      <c r="B654" s="1"/>
      <c r="C654" s="1"/>
    </row>
    <row r="655" ht="15.75" customHeight="1">
      <c r="A655" s="1"/>
      <c r="B655" s="1"/>
      <c r="C655" s="1"/>
    </row>
    <row r="656" ht="15.75" customHeight="1">
      <c r="A656" s="1"/>
      <c r="B656" s="1"/>
      <c r="C656" s="1"/>
    </row>
    <row r="657" ht="15.75" customHeight="1">
      <c r="A657" s="1"/>
      <c r="B657" s="1"/>
      <c r="C657" s="1"/>
    </row>
    <row r="658" ht="15.75" customHeight="1">
      <c r="A658" s="1"/>
      <c r="B658" s="1"/>
      <c r="C658" s="1"/>
    </row>
    <row r="659" ht="15.75" customHeight="1">
      <c r="A659" s="1"/>
      <c r="B659" s="1"/>
      <c r="C659" s="1"/>
    </row>
    <row r="660" ht="15.75" customHeight="1">
      <c r="A660" s="1"/>
      <c r="B660" s="1"/>
      <c r="C660" s="1"/>
    </row>
    <row r="661" ht="15.75" customHeight="1">
      <c r="A661" s="1"/>
      <c r="B661" s="1"/>
      <c r="C661" s="1"/>
    </row>
    <row r="662" ht="15.75" customHeight="1">
      <c r="A662" s="1"/>
      <c r="B662" s="1"/>
      <c r="C662" s="1"/>
    </row>
    <row r="663" ht="15.75" customHeight="1">
      <c r="A663" s="1"/>
      <c r="B663" s="1"/>
      <c r="C663" s="1"/>
    </row>
    <row r="664" ht="15.75" customHeight="1">
      <c r="A664" s="1"/>
      <c r="B664" s="1"/>
      <c r="C664" s="1"/>
    </row>
    <row r="665" ht="15.75" customHeight="1">
      <c r="A665" s="1"/>
      <c r="B665" s="1"/>
      <c r="C665" s="1"/>
    </row>
    <row r="666" ht="15.75" customHeight="1">
      <c r="A666" s="1"/>
      <c r="B666" s="1"/>
      <c r="C666" s="1"/>
    </row>
    <row r="667" ht="15.75" customHeight="1">
      <c r="A667" s="1"/>
      <c r="B667" s="1"/>
      <c r="C667" s="1"/>
    </row>
    <row r="668" ht="15.75" customHeight="1">
      <c r="A668" s="1"/>
      <c r="B668" s="1"/>
      <c r="C668" s="1"/>
    </row>
    <row r="669" ht="15.75" customHeight="1">
      <c r="A669" s="1"/>
      <c r="B669" s="1"/>
      <c r="C669" s="1"/>
    </row>
    <row r="670" ht="15.75" customHeight="1">
      <c r="A670" s="1"/>
      <c r="B670" s="1"/>
      <c r="C670" s="1"/>
    </row>
    <row r="671" ht="15.75" customHeight="1">
      <c r="A671" s="1"/>
      <c r="B671" s="1"/>
      <c r="C671" s="1"/>
    </row>
    <row r="672" ht="15.75" customHeight="1">
      <c r="A672" s="1"/>
      <c r="B672" s="1"/>
      <c r="C672" s="1"/>
    </row>
    <row r="673" ht="15.75" customHeight="1">
      <c r="A673" s="1"/>
      <c r="B673" s="1"/>
      <c r="C673" s="1"/>
    </row>
    <row r="674" ht="15.75" customHeight="1">
      <c r="A674" s="1"/>
      <c r="B674" s="1"/>
      <c r="C674" s="1"/>
    </row>
    <row r="675" ht="15.75" customHeight="1">
      <c r="A675" s="1"/>
      <c r="B675" s="1"/>
      <c r="C675" s="1"/>
    </row>
    <row r="676" ht="15.75" customHeight="1">
      <c r="A676" s="1"/>
      <c r="B676" s="1"/>
      <c r="C676" s="1"/>
    </row>
    <row r="677" ht="15.75" customHeight="1">
      <c r="A677" s="1"/>
      <c r="B677" s="1"/>
      <c r="C677" s="1"/>
    </row>
    <row r="678" ht="15.75" customHeight="1">
      <c r="A678" s="1"/>
      <c r="B678" s="1"/>
      <c r="C678" s="1"/>
    </row>
    <row r="679" ht="15.75" customHeight="1">
      <c r="A679" s="1"/>
      <c r="B679" s="1"/>
      <c r="C679" s="1"/>
    </row>
    <row r="680" ht="15.75" customHeight="1">
      <c r="A680" s="1"/>
      <c r="B680" s="1"/>
      <c r="C680" s="1"/>
    </row>
    <row r="681" ht="15.75" customHeight="1">
      <c r="A681" s="1"/>
      <c r="B681" s="1"/>
      <c r="C681" s="1"/>
    </row>
    <row r="682" ht="15.75" customHeight="1">
      <c r="A682" s="1"/>
      <c r="B682" s="1"/>
      <c r="C682" s="1"/>
    </row>
    <row r="683" ht="15.75" customHeight="1">
      <c r="A683" s="1"/>
      <c r="B683" s="1"/>
      <c r="C683" s="1"/>
    </row>
    <row r="684" ht="15.75" customHeight="1">
      <c r="A684" s="1"/>
      <c r="B684" s="1"/>
      <c r="C684" s="1"/>
    </row>
    <row r="685" ht="15.75" customHeight="1">
      <c r="A685" s="1"/>
      <c r="B685" s="1"/>
      <c r="C685" s="1"/>
    </row>
    <row r="686" ht="15.75" customHeight="1">
      <c r="A686" s="1"/>
      <c r="B686" s="1"/>
      <c r="C686" s="1"/>
    </row>
    <row r="687" ht="15.75" customHeight="1">
      <c r="A687" s="1"/>
      <c r="B687" s="1"/>
      <c r="C687" s="1"/>
    </row>
    <row r="688" ht="15.75" customHeight="1">
      <c r="A688" s="1"/>
      <c r="B688" s="1"/>
      <c r="C688" s="1"/>
    </row>
    <row r="689" ht="15.75" customHeight="1">
      <c r="A689" s="1"/>
      <c r="B689" s="1"/>
      <c r="C689" s="1"/>
    </row>
    <row r="690" ht="15.75" customHeight="1">
      <c r="A690" s="1"/>
      <c r="B690" s="1"/>
      <c r="C690" s="1"/>
    </row>
    <row r="691" ht="15.75" customHeight="1">
      <c r="A691" s="1"/>
      <c r="B691" s="1"/>
      <c r="C691" s="1"/>
    </row>
    <row r="692" ht="15.75" customHeight="1">
      <c r="A692" s="1"/>
      <c r="B692" s="1"/>
      <c r="C692" s="1"/>
    </row>
    <row r="693" ht="15.75" customHeight="1">
      <c r="A693" s="1"/>
      <c r="B693" s="1"/>
      <c r="C693" s="1"/>
    </row>
    <row r="694" ht="15.75" customHeight="1">
      <c r="A694" s="1"/>
      <c r="B694" s="1"/>
      <c r="C694" s="1"/>
    </row>
    <row r="695" ht="15.75" customHeight="1">
      <c r="A695" s="1"/>
      <c r="B695" s="1"/>
      <c r="C695" s="1"/>
    </row>
    <row r="696" ht="15.75" customHeight="1">
      <c r="A696" s="1"/>
      <c r="B696" s="1"/>
      <c r="C696" s="1"/>
    </row>
    <row r="697" ht="15.75" customHeight="1">
      <c r="A697" s="1"/>
      <c r="B697" s="1"/>
      <c r="C697" s="1"/>
    </row>
    <row r="698" ht="15.75" customHeight="1">
      <c r="A698" s="1"/>
      <c r="B698" s="1"/>
      <c r="C698" s="1"/>
    </row>
    <row r="699" ht="15.75" customHeight="1">
      <c r="A699" s="1"/>
      <c r="B699" s="1"/>
      <c r="C699" s="1"/>
    </row>
    <row r="700" ht="15.75" customHeight="1">
      <c r="A700" s="1"/>
      <c r="B700" s="1"/>
      <c r="C700" s="1"/>
    </row>
    <row r="701" ht="15.75" customHeight="1">
      <c r="A701" s="1"/>
      <c r="B701" s="1"/>
      <c r="C701" s="1"/>
    </row>
    <row r="702" ht="15.75" customHeight="1">
      <c r="A702" s="1"/>
      <c r="B702" s="1"/>
      <c r="C702" s="1"/>
    </row>
    <row r="703" ht="15.75" customHeight="1">
      <c r="A703" s="1"/>
      <c r="B703" s="1"/>
      <c r="C703" s="1"/>
    </row>
    <row r="704" ht="15.75" customHeight="1">
      <c r="A704" s="1"/>
      <c r="B704" s="1"/>
      <c r="C704" s="1"/>
    </row>
    <row r="705" ht="15.75" customHeight="1">
      <c r="A705" s="1"/>
      <c r="B705" s="1"/>
      <c r="C705" s="1"/>
    </row>
    <row r="706" ht="15.75" customHeight="1">
      <c r="A706" s="1"/>
      <c r="B706" s="1"/>
      <c r="C706" s="1"/>
    </row>
    <row r="707" ht="15.75" customHeight="1">
      <c r="A707" s="1"/>
      <c r="B707" s="1"/>
      <c r="C707" s="1"/>
    </row>
    <row r="708" ht="15.75" customHeight="1">
      <c r="A708" s="1"/>
      <c r="B708" s="1"/>
      <c r="C708" s="1"/>
    </row>
    <row r="709" ht="15.75" customHeight="1">
      <c r="A709" s="1"/>
      <c r="B709" s="1"/>
      <c r="C709" s="1"/>
    </row>
    <row r="710" ht="15.75" customHeight="1">
      <c r="A710" s="1"/>
      <c r="B710" s="1"/>
      <c r="C710" s="1"/>
    </row>
    <row r="711" ht="15.75" customHeight="1">
      <c r="A711" s="1"/>
      <c r="B711" s="1"/>
      <c r="C711" s="1"/>
    </row>
    <row r="712" ht="15.75" customHeight="1">
      <c r="A712" s="1"/>
      <c r="B712" s="1"/>
      <c r="C712" s="1"/>
    </row>
    <row r="713" ht="15.75" customHeight="1">
      <c r="A713" s="1"/>
      <c r="B713" s="1"/>
      <c r="C713" s="1"/>
    </row>
    <row r="714" ht="15.75" customHeight="1">
      <c r="A714" s="1"/>
      <c r="B714" s="1"/>
      <c r="C714" s="1"/>
    </row>
    <row r="715" ht="15.75" customHeight="1">
      <c r="A715" s="1"/>
      <c r="B715" s="1"/>
      <c r="C715" s="1"/>
    </row>
    <row r="716" ht="15.75" customHeight="1">
      <c r="A716" s="1"/>
      <c r="B716" s="1"/>
      <c r="C716" s="1"/>
    </row>
    <row r="717" ht="15.75" customHeight="1">
      <c r="A717" s="1"/>
      <c r="B717" s="1"/>
      <c r="C717" s="1"/>
    </row>
    <row r="718" ht="15.75" customHeight="1">
      <c r="A718" s="1"/>
      <c r="B718" s="1"/>
      <c r="C718" s="1"/>
    </row>
    <row r="719" ht="15.75" customHeight="1">
      <c r="A719" s="1"/>
      <c r="B719" s="1"/>
      <c r="C719" s="1"/>
    </row>
    <row r="720" ht="15.75" customHeight="1">
      <c r="A720" s="1"/>
      <c r="B720" s="1"/>
      <c r="C720" s="1"/>
    </row>
    <row r="721" ht="15.75" customHeight="1">
      <c r="A721" s="1"/>
      <c r="B721" s="1"/>
      <c r="C721" s="1"/>
    </row>
    <row r="722" ht="15.75" customHeight="1">
      <c r="A722" s="1"/>
      <c r="B722" s="1"/>
      <c r="C722" s="1"/>
    </row>
    <row r="723" ht="15.75" customHeight="1">
      <c r="A723" s="1"/>
      <c r="B723" s="1"/>
      <c r="C723" s="1"/>
    </row>
    <row r="724" ht="15.75" customHeight="1">
      <c r="A724" s="1"/>
      <c r="B724" s="1"/>
      <c r="C724" s="1"/>
    </row>
    <row r="725" ht="15.75" customHeight="1">
      <c r="A725" s="1"/>
      <c r="B725" s="1"/>
      <c r="C725" s="1"/>
    </row>
    <row r="726" ht="15.75" customHeight="1">
      <c r="A726" s="1"/>
      <c r="B726" s="1"/>
      <c r="C726" s="1"/>
    </row>
    <row r="727" ht="15.75" customHeight="1">
      <c r="A727" s="1"/>
      <c r="B727" s="1"/>
      <c r="C727" s="1"/>
    </row>
    <row r="728" ht="15.75" customHeight="1">
      <c r="A728" s="1"/>
      <c r="B728" s="1"/>
      <c r="C728" s="1"/>
    </row>
    <row r="729" ht="15.75" customHeight="1">
      <c r="A729" s="1"/>
      <c r="B729" s="1"/>
      <c r="C729" s="1"/>
    </row>
    <row r="730" ht="15.75" customHeight="1">
      <c r="A730" s="1"/>
      <c r="B730" s="1"/>
      <c r="C730" s="1"/>
    </row>
    <row r="731" ht="15.75" customHeight="1">
      <c r="A731" s="1"/>
      <c r="B731" s="1"/>
      <c r="C731" s="1"/>
    </row>
    <row r="732" ht="15.75" customHeight="1">
      <c r="A732" s="1"/>
      <c r="B732" s="1"/>
      <c r="C732" s="1"/>
    </row>
    <row r="733" ht="15.75" customHeight="1">
      <c r="A733" s="1"/>
      <c r="B733" s="1"/>
      <c r="C733" s="1"/>
    </row>
    <row r="734" ht="15.75" customHeight="1">
      <c r="A734" s="1"/>
      <c r="B734" s="1"/>
      <c r="C734" s="1"/>
    </row>
    <row r="735" ht="15.75" customHeight="1">
      <c r="A735" s="1"/>
      <c r="B735" s="1"/>
      <c r="C735" s="1"/>
    </row>
    <row r="736" ht="15.75" customHeight="1">
      <c r="A736" s="1"/>
      <c r="B736" s="1"/>
      <c r="C736" s="1"/>
    </row>
    <row r="737" ht="15.75" customHeight="1">
      <c r="A737" s="1"/>
      <c r="B737" s="1"/>
      <c r="C737" s="1"/>
    </row>
    <row r="738" ht="15.75" customHeight="1">
      <c r="A738" s="1"/>
      <c r="B738" s="1"/>
      <c r="C738" s="1"/>
    </row>
    <row r="739" ht="15.75" customHeight="1">
      <c r="A739" s="1"/>
      <c r="B739" s="1"/>
      <c r="C739" s="1"/>
    </row>
    <row r="740" ht="15.75" customHeight="1">
      <c r="A740" s="1"/>
      <c r="B740" s="1"/>
      <c r="C740" s="1"/>
    </row>
    <row r="741" ht="15.75" customHeight="1">
      <c r="A741" s="1"/>
      <c r="B741" s="1"/>
      <c r="C741" s="1"/>
    </row>
    <row r="742" ht="15.75" customHeight="1">
      <c r="A742" s="1"/>
      <c r="B742" s="1"/>
      <c r="C742" s="1"/>
    </row>
    <row r="743" ht="15.75" customHeight="1">
      <c r="A743" s="1"/>
      <c r="B743" s="1"/>
      <c r="C743" s="1"/>
    </row>
    <row r="744" ht="15.75" customHeight="1">
      <c r="A744" s="1"/>
      <c r="B744" s="1"/>
      <c r="C744" s="1"/>
    </row>
    <row r="745" ht="15.75" customHeight="1">
      <c r="A745" s="1"/>
      <c r="B745" s="1"/>
      <c r="C745" s="1"/>
    </row>
    <row r="746" ht="15.75" customHeight="1">
      <c r="A746" s="1"/>
      <c r="B746" s="1"/>
      <c r="C746" s="1"/>
    </row>
    <row r="747" ht="15.75" customHeight="1">
      <c r="A747" s="1"/>
      <c r="B747" s="1"/>
      <c r="C747" s="1"/>
    </row>
    <row r="748" ht="15.75" customHeight="1">
      <c r="A748" s="1"/>
      <c r="B748" s="1"/>
      <c r="C748" s="1"/>
    </row>
    <row r="749" ht="15.75" customHeight="1">
      <c r="A749" s="1"/>
      <c r="B749" s="1"/>
      <c r="C749" s="1"/>
    </row>
    <row r="750" ht="15.75" customHeight="1">
      <c r="A750" s="1"/>
      <c r="B750" s="1"/>
      <c r="C750" s="1"/>
    </row>
    <row r="751" ht="15.75" customHeight="1">
      <c r="A751" s="1"/>
      <c r="B751" s="1"/>
      <c r="C751" s="1"/>
    </row>
    <row r="752" ht="15.75" customHeight="1">
      <c r="A752" s="1"/>
      <c r="B752" s="1"/>
      <c r="C752" s="1"/>
    </row>
    <row r="753" ht="15.75" customHeight="1">
      <c r="A753" s="1"/>
      <c r="B753" s="1"/>
      <c r="C753" s="1"/>
    </row>
    <row r="754" ht="15.75" customHeight="1">
      <c r="A754" s="1"/>
      <c r="B754" s="1"/>
      <c r="C754" s="1"/>
    </row>
    <row r="755" ht="15.75" customHeight="1">
      <c r="A755" s="1"/>
      <c r="B755" s="1"/>
      <c r="C755" s="1"/>
    </row>
    <row r="756" ht="15.75" customHeight="1">
      <c r="A756" s="1"/>
      <c r="B756" s="1"/>
      <c r="C756" s="1"/>
    </row>
    <row r="757" ht="15.75" customHeight="1">
      <c r="A757" s="1"/>
      <c r="B757" s="1"/>
      <c r="C757" s="1"/>
    </row>
    <row r="758" ht="15.75" customHeight="1">
      <c r="A758" s="1"/>
      <c r="B758" s="1"/>
      <c r="C758" s="1"/>
    </row>
    <row r="759" ht="15.75" customHeight="1">
      <c r="A759" s="1"/>
      <c r="B759" s="1"/>
      <c r="C759" s="1"/>
    </row>
    <row r="760" ht="15.75" customHeight="1">
      <c r="A760" s="1"/>
      <c r="B760" s="1"/>
      <c r="C760" s="1"/>
    </row>
    <row r="761" ht="15.75" customHeight="1">
      <c r="A761" s="1"/>
      <c r="B761" s="1"/>
      <c r="C761" s="1"/>
    </row>
    <row r="762" ht="15.75" customHeight="1">
      <c r="A762" s="1"/>
      <c r="B762" s="1"/>
      <c r="C762" s="1"/>
    </row>
    <row r="763" ht="15.75" customHeight="1">
      <c r="A763" s="1"/>
      <c r="B763" s="1"/>
      <c r="C763" s="1"/>
    </row>
    <row r="764" ht="15.75" customHeight="1">
      <c r="A764" s="1"/>
      <c r="B764" s="1"/>
      <c r="C764" s="1"/>
    </row>
    <row r="765" ht="15.75" customHeight="1">
      <c r="A765" s="1"/>
      <c r="B765" s="1"/>
      <c r="C765" s="1"/>
    </row>
    <row r="766" ht="15.75" customHeight="1">
      <c r="A766" s="1"/>
      <c r="B766" s="1"/>
      <c r="C766" s="1"/>
    </row>
    <row r="767" ht="15.75" customHeight="1">
      <c r="A767" s="1"/>
      <c r="B767" s="1"/>
      <c r="C767" s="1"/>
    </row>
    <row r="768" ht="15.75" customHeight="1">
      <c r="A768" s="1"/>
      <c r="B768" s="1"/>
      <c r="C768" s="1"/>
    </row>
    <row r="769" ht="15.75" customHeight="1">
      <c r="A769" s="1"/>
      <c r="B769" s="1"/>
      <c r="C769" s="1"/>
    </row>
    <row r="770" ht="15.75" customHeight="1">
      <c r="A770" s="1"/>
      <c r="B770" s="1"/>
      <c r="C770" s="1"/>
    </row>
    <row r="771" ht="15.75" customHeight="1">
      <c r="A771" s="1"/>
      <c r="B771" s="1"/>
      <c r="C771" s="1"/>
    </row>
    <row r="772" ht="15.75" customHeight="1">
      <c r="A772" s="1"/>
      <c r="B772" s="1"/>
      <c r="C772" s="1"/>
    </row>
    <row r="773" ht="15.75" customHeight="1">
      <c r="A773" s="1"/>
      <c r="B773" s="1"/>
      <c r="C773" s="1"/>
    </row>
    <row r="774" ht="15.75" customHeight="1">
      <c r="A774" s="1"/>
      <c r="B774" s="1"/>
      <c r="C774" s="1"/>
    </row>
    <row r="775" ht="15.75" customHeight="1">
      <c r="A775" s="1"/>
      <c r="B775" s="1"/>
      <c r="C775" s="1"/>
    </row>
    <row r="776" ht="15.75" customHeight="1">
      <c r="A776" s="1"/>
      <c r="B776" s="1"/>
      <c r="C776" s="1"/>
    </row>
    <row r="777" ht="15.75" customHeight="1">
      <c r="A777" s="1"/>
      <c r="B777" s="1"/>
      <c r="C777" s="1"/>
    </row>
    <row r="778" ht="15.75" customHeight="1">
      <c r="A778" s="1"/>
      <c r="B778" s="1"/>
      <c r="C778" s="1"/>
    </row>
    <row r="779" ht="15.75" customHeight="1">
      <c r="A779" s="1"/>
      <c r="B779" s="1"/>
      <c r="C779" s="1"/>
    </row>
    <row r="780" ht="15.75" customHeight="1">
      <c r="A780" s="1"/>
      <c r="B780" s="1"/>
      <c r="C780" s="1"/>
    </row>
    <row r="781" ht="15.75" customHeight="1">
      <c r="A781" s="1"/>
      <c r="B781" s="1"/>
      <c r="C781" s="1"/>
    </row>
    <row r="782" ht="15.75" customHeight="1">
      <c r="A782" s="1"/>
      <c r="B782" s="1"/>
      <c r="C782" s="1"/>
    </row>
    <row r="783" ht="15.75" customHeight="1">
      <c r="A783" s="1"/>
      <c r="B783" s="1"/>
      <c r="C783" s="1"/>
    </row>
    <row r="784" ht="15.75" customHeight="1">
      <c r="A784" s="1"/>
      <c r="B784" s="1"/>
      <c r="C784" s="1"/>
    </row>
    <row r="785" ht="15.75" customHeight="1">
      <c r="A785" s="1"/>
      <c r="B785" s="1"/>
      <c r="C785" s="1"/>
    </row>
    <row r="786" ht="15.75" customHeight="1">
      <c r="A786" s="1"/>
      <c r="B786" s="1"/>
      <c r="C786" s="1"/>
    </row>
    <row r="787" ht="15.75" customHeight="1">
      <c r="A787" s="1"/>
      <c r="B787" s="1"/>
      <c r="C787" s="1"/>
    </row>
    <row r="788" ht="15.75" customHeight="1">
      <c r="A788" s="1"/>
      <c r="B788" s="1"/>
      <c r="C788" s="1"/>
    </row>
    <row r="789" ht="15.75" customHeight="1">
      <c r="A789" s="1"/>
      <c r="B789" s="1"/>
      <c r="C789" s="1"/>
    </row>
    <row r="790" ht="15.75" customHeight="1">
      <c r="A790" s="1"/>
      <c r="B790" s="1"/>
      <c r="C790" s="1"/>
    </row>
    <row r="791" ht="15.75" customHeight="1">
      <c r="A791" s="1"/>
      <c r="B791" s="1"/>
      <c r="C791" s="1"/>
    </row>
    <row r="792" ht="15.75" customHeight="1">
      <c r="A792" s="1"/>
      <c r="B792" s="1"/>
      <c r="C792" s="1"/>
    </row>
    <row r="793" ht="15.75" customHeight="1">
      <c r="A793" s="1"/>
      <c r="B793" s="1"/>
      <c r="C793" s="1"/>
    </row>
    <row r="794" ht="15.75" customHeight="1">
      <c r="A794" s="1"/>
      <c r="B794" s="1"/>
      <c r="C794" s="1"/>
    </row>
    <row r="795" ht="15.75" customHeight="1">
      <c r="A795" s="1"/>
      <c r="B795" s="1"/>
      <c r="C795" s="1"/>
    </row>
    <row r="796" ht="15.75" customHeight="1">
      <c r="A796" s="1"/>
      <c r="B796" s="1"/>
      <c r="C796" s="1"/>
    </row>
    <row r="797" ht="15.75" customHeight="1">
      <c r="A797" s="1"/>
      <c r="B797" s="1"/>
      <c r="C797" s="1"/>
    </row>
    <row r="798" ht="15.75" customHeight="1">
      <c r="A798" s="1"/>
      <c r="B798" s="1"/>
      <c r="C798" s="1"/>
    </row>
    <row r="799" ht="15.75" customHeight="1">
      <c r="A799" s="1"/>
      <c r="B799" s="1"/>
      <c r="C799" s="1"/>
    </row>
    <row r="800" ht="15.75" customHeight="1">
      <c r="A800" s="1"/>
      <c r="B800" s="1"/>
      <c r="C800" s="1"/>
    </row>
    <row r="801" ht="15.75" customHeight="1">
      <c r="A801" s="1"/>
      <c r="B801" s="1"/>
      <c r="C801" s="1"/>
    </row>
    <row r="802" ht="15.75" customHeight="1">
      <c r="A802" s="1"/>
      <c r="B802" s="1"/>
      <c r="C802" s="1"/>
    </row>
    <row r="803" ht="15.75" customHeight="1">
      <c r="A803" s="1"/>
      <c r="B803" s="1"/>
      <c r="C803" s="1"/>
    </row>
    <row r="804" ht="15.75" customHeight="1">
      <c r="A804" s="1"/>
      <c r="B804" s="1"/>
      <c r="C804" s="1"/>
    </row>
    <row r="805" ht="15.75" customHeight="1">
      <c r="A805" s="1"/>
      <c r="B805" s="1"/>
      <c r="C805" s="1"/>
    </row>
    <row r="806" ht="15.75" customHeight="1">
      <c r="A806" s="1"/>
      <c r="B806" s="1"/>
      <c r="C806" s="1"/>
    </row>
    <row r="807" ht="15.75" customHeight="1">
      <c r="A807" s="1"/>
      <c r="B807" s="1"/>
      <c r="C807" s="1"/>
    </row>
    <row r="808" ht="15.75" customHeight="1">
      <c r="A808" s="1"/>
      <c r="B808" s="1"/>
      <c r="C808" s="1"/>
    </row>
    <row r="809" ht="15.75" customHeight="1">
      <c r="A809" s="1"/>
      <c r="B809" s="1"/>
      <c r="C809" s="1"/>
    </row>
    <row r="810" ht="15.75" customHeight="1">
      <c r="A810" s="1"/>
      <c r="B810" s="1"/>
      <c r="C810" s="1"/>
    </row>
    <row r="811" ht="15.75" customHeight="1">
      <c r="A811" s="1"/>
      <c r="B811" s="1"/>
      <c r="C811" s="1"/>
    </row>
    <row r="812" ht="15.75" customHeight="1">
      <c r="A812" s="1"/>
      <c r="B812" s="1"/>
      <c r="C812" s="1"/>
    </row>
    <row r="813" ht="15.75" customHeight="1">
      <c r="A813" s="1"/>
      <c r="B813" s="1"/>
      <c r="C813" s="1"/>
    </row>
    <row r="814" ht="15.75" customHeight="1">
      <c r="A814" s="1"/>
      <c r="B814" s="1"/>
      <c r="C814" s="1"/>
    </row>
    <row r="815" ht="15.75" customHeight="1">
      <c r="A815" s="1"/>
      <c r="B815" s="1"/>
      <c r="C815" s="1"/>
    </row>
    <row r="816" ht="15.75" customHeight="1">
      <c r="A816" s="1"/>
      <c r="B816" s="1"/>
      <c r="C816" s="1"/>
    </row>
    <row r="817" ht="15.75" customHeight="1">
      <c r="A817" s="1"/>
      <c r="B817" s="1"/>
      <c r="C817" s="1"/>
    </row>
    <row r="818" ht="15.75" customHeight="1">
      <c r="A818" s="1"/>
      <c r="B818" s="1"/>
      <c r="C818" s="1"/>
    </row>
    <row r="819" ht="15.75" customHeight="1">
      <c r="A819" s="1"/>
      <c r="B819" s="1"/>
      <c r="C819" s="1"/>
    </row>
    <row r="820" ht="15.75" customHeight="1">
      <c r="A820" s="1"/>
      <c r="B820" s="1"/>
      <c r="C820" s="1"/>
    </row>
    <row r="821" ht="15.75" customHeight="1">
      <c r="A821" s="1"/>
      <c r="B821" s="1"/>
      <c r="C821" s="1"/>
    </row>
    <row r="822" ht="15.75" customHeight="1">
      <c r="A822" s="1"/>
      <c r="B822" s="1"/>
      <c r="C822" s="1"/>
    </row>
    <row r="823" ht="15.75" customHeight="1">
      <c r="A823" s="1"/>
      <c r="B823" s="1"/>
      <c r="C823" s="1"/>
    </row>
    <row r="824" ht="15.75" customHeight="1">
      <c r="A824" s="1"/>
      <c r="B824" s="1"/>
      <c r="C824" s="1"/>
    </row>
    <row r="825" ht="15.75" customHeight="1">
      <c r="A825" s="1"/>
      <c r="B825" s="1"/>
      <c r="C825" s="1"/>
    </row>
    <row r="826" ht="15.75" customHeight="1">
      <c r="A826" s="1"/>
      <c r="B826" s="1"/>
      <c r="C826" s="1"/>
    </row>
    <row r="827" ht="15.75" customHeight="1">
      <c r="A827" s="1"/>
      <c r="B827" s="1"/>
      <c r="C827" s="1"/>
    </row>
    <row r="828" ht="15.75" customHeight="1">
      <c r="A828" s="1"/>
      <c r="B828" s="1"/>
      <c r="C828" s="1"/>
    </row>
    <row r="829" ht="15.75" customHeight="1">
      <c r="A829" s="1"/>
      <c r="B829" s="1"/>
      <c r="C829" s="1"/>
    </row>
    <row r="830" ht="15.75" customHeight="1">
      <c r="A830" s="1"/>
      <c r="B830" s="1"/>
      <c r="C830" s="1"/>
    </row>
    <row r="831" ht="15.75" customHeight="1">
      <c r="A831" s="1"/>
      <c r="B831" s="1"/>
      <c r="C831" s="1"/>
    </row>
    <row r="832" ht="15.75" customHeight="1">
      <c r="A832" s="1"/>
      <c r="B832" s="1"/>
      <c r="C832" s="1"/>
    </row>
    <row r="833" ht="15.75" customHeight="1">
      <c r="A833" s="1"/>
      <c r="B833" s="1"/>
      <c r="C833" s="1"/>
    </row>
    <row r="834" ht="15.75" customHeight="1">
      <c r="A834" s="1"/>
      <c r="B834" s="1"/>
      <c r="C834" s="1"/>
    </row>
    <row r="835" ht="15.75" customHeight="1">
      <c r="A835" s="1"/>
      <c r="B835" s="1"/>
      <c r="C835" s="1"/>
    </row>
    <row r="836" ht="15.75" customHeight="1">
      <c r="A836" s="1"/>
      <c r="B836" s="1"/>
      <c r="C836" s="1"/>
    </row>
    <row r="837" ht="15.75" customHeight="1">
      <c r="A837" s="1"/>
      <c r="B837" s="1"/>
      <c r="C837" s="1"/>
    </row>
    <row r="838" ht="15.75" customHeight="1">
      <c r="A838" s="1"/>
      <c r="B838" s="1"/>
      <c r="C838" s="1"/>
    </row>
    <row r="839" ht="15.75" customHeight="1">
      <c r="A839" s="1"/>
      <c r="B839" s="1"/>
      <c r="C839" s="1"/>
    </row>
    <row r="840" ht="15.75" customHeight="1">
      <c r="A840" s="1"/>
      <c r="B840" s="1"/>
      <c r="C840" s="1"/>
    </row>
    <row r="841" ht="15.75" customHeight="1">
      <c r="A841" s="1"/>
      <c r="B841" s="1"/>
      <c r="C841" s="1"/>
    </row>
    <row r="842" ht="15.75" customHeight="1">
      <c r="A842" s="1"/>
      <c r="B842" s="1"/>
      <c r="C842" s="1"/>
    </row>
    <row r="843" ht="15.75" customHeight="1">
      <c r="A843" s="1"/>
      <c r="B843" s="1"/>
      <c r="C843" s="1"/>
    </row>
    <row r="844" ht="15.75" customHeight="1">
      <c r="A844" s="1"/>
      <c r="B844" s="1"/>
      <c r="C844" s="1"/>
    </row>
    <row r="845" ht="15.75" customHeight="1">
      <c r="A845" s="1"/>
      <c r="B845" s="1"/>
      <c r="C845" s="1"/>
    </row>
    <row r="846" ht="15.75" customHeight="1">
      <c r="A846" s="1"/>
      <c r="B846" s="1"/>
      <c r="C846" s="1"/>
    </row>
    <row r="847" ht="15.75" customHeight="1">
      <c r="A847" s="1"/>
      <c r="B847" s="1"/>
      <c r="C847" s="1"/>
    </row>
    <row r="848" ht="15.75" customHeight="1">
      <c r="A848" s="1"/>
      <c r="B848" s="1"/>
      <c r="C848" s="1"/>
    </row>
    <row r="849" ht="15.75" customHeight="1">
      <c r="A849" s="1"/>
      <c r="B849" s="1"/>
      <c r="C849" s="1"/>
    </row>
    <row r="850" ht="15.75" customHeight="1">
      <c r="A850" s="1"/>
      <c r="B850" s="1"/>
      <c r="C850" s="1"/>
    </row>
    <row r="851" ht="15.75" customHeight="1">
      <c r="A851" s="1"/>
      <c r="B851" s="1"/>
      <c r="C851" s="1"/>
    </row>
    <row r="852" ht="15.75" customHeight="1">
      <c r="A852" s="1"/>
      <c r="B852" s="1"/>
      <c r="C852" s="1"/>
    </row>
    <row r="853" ht="15.75" customHeight="1">
      <c r="A853" s="1"/>
      <c r="B853" s="1"/>
      <c r="C853" s="1"/>
    </row>
    <row r="854" ht="15.75" customHeight="1">
      <c r="A854" s="1"/>
      <c r="B854" s="1"/>
      <c r="C854" s="1"/>
    </row>
    <row r="855" ht="15.75" customHeight="1">
      <c r="A855" s="1"/>
      <c r="B855" s="1"/>
      <c r="C855" s="1"/>
    </row>
    <row r="856" ht="15.75" customHeight="1">
      <c r="A856" s="1"/>
      <c r="B856" s="1"/>
      <c r="C856" s="1"/>
    </row>
    <row r="857" ht="15.75" customHeight="1">
      <c r="A857" s="1"/>
      <c r="B857" s="1"/>
      <c r="C857" s="1"/>
    </row>
    <row r="858" ht="15.75" customHeight="1">
      <c r="A858" s="1"/>
      <c r="B858" s="1"/>
      <c r="C858" s="1"/>
    </row>
    <row r="859" ht="15.75" customHeight="1">
      <c r="A859" s="1"/>
      <c r="B859" s="1"/>
      <c r="C859" s="1"/>
    </row>
    <row r="860" ht="15.75" customHeight="1">
      <c r="A860" s="1"/>
      <c r="B860" s="1"/>
      <c r="C860" s="1"/>
    </row>
    <row r="861" ht="15.75" customHeight="1">
      <c r="A861" s="1"/>
      <c r="B861" s="1"/>
      <c r="C861" s="1"/>
    </row>
    <row r="862" ht="15.75" customHeight="1">
      <c r="A862" s="1"/>
      <c r="B862" s="1"/>
      <c r="C862" s="1"/>
    </row>
    <row r="863" ht="15.75" customHeight="1">
      <c r="A863" s="1"/>
      <c r="B863" s="1"/>
      <c r="C863" s="1"/>
    </row>
    <row r="864" ht="15.75" customHeight="1">
      <c r="A864" s="1"/>
      <c r="B864" s="1"/>
      <c r="C864" s="1"/>
    </row>
    <row r="865" ht="15.75" customHeight="1">
      <c r="A865" s="1"/>
      <c r="B865" s="1"/>
      <c r="C865" s="1"/>
    </row>
    <row r="866" ht="15.75" customHeight="1">
      <c r="A866" s="1"/>
      <c r="B866" s="1"/>
      <c r="C866" s="1"/>
    </row>
    <row r="867" ht="15.75" customHeight="1">
      <c r="A867" s="1"/>
      <c r="B867" s="1"/>
      <c r="C867" s="1"/>
    </row>
    <row r="868" ht="15.75" customHeight="1">
      <c r="A868" s="1"/>
      <c r="B868" s="1"/>
      <c r="C868" s="1"/>
    </row>
    <row r="869" ht="15.75" customHeight="1">
      <c r="A869" s="1"/>
      <c r="B869" s="1"/>
      <c r="C869" s="1"/>
    </row>
    <row r="870" ht="15.75" customHeight="1">
      <c r="A870" s="1"/>
      <c r="B870" s="1"/>
      <c r="C870" s="1"/>
    </row>
    <row r="871" ht="15.75" customHeight="1">
      <c r="A871" s="1"/>
      <c r="B871" s="1"/>
      <c r="C871" s="1"/>
    </row>
    <row r="872" ht="15.75" customHeight="1">
      <c r="A872" s="1"/>
      <c r="B872" s="1"/>
      <c r="C872" s="1"/>
    </row>
    <row r="873" ht="15.75" customHeight="1">
      <c r="A873" s="1"/>
      <c r="B873" s="1"/>
      <c r="C873" s="1"/>
    </row>
    <row r="874" ht="15.75" customHeight="1">
      <c r="A874" s="1"/>
      <c r="B874" s="1"/>
      <c r="C874" s="1"/>
    </row>
    <row r="875" ht="15.75" customHeight="1">
      <c r="A875" s="1"/>
      <c r="B875" s="1"/>
      <c r="C875" s="1"/>
    </row>
    <row r="876" ht="15.75" customHeight="1">
      <c r="A876" s="1"/>
      <c r="B876" s="1"/>
      <c r="C876" s="1"/>
    </row>
    <row r="877" ht="15.75" customHeight="1">
      <c r="A877" s="1"/>
      <c r="B877" s="1"/>
      <c r="C877" s="1"/>
    </row>
    <row r="878" ht="15.75" customHeight="1">
      <c r="A878" s="1"/>
      <c r="B878" s="1"/>
      <c r="C878" s="1"/>
    </row>
    <row r="879" ht="15.75" customHeight="1">
      <c r="A879" s="1"/>
      <c r="B879" s="1"/>
      <c r="C879" s="1"/>
    </row>
    <row r="880" ht="15.75" customHeight="1">
      <c r="A880" s="1"/>
      <c r="B880" s="1"/>
      <c r="C880" s="1"/>
    </row>
    <row r="881" ht="15.75" customHeight="1">
      <c r="A881" s="1"/>
      <c r="B881" s="1"/>
      <c r="C881" s="1"/>
    </row>
    <row r="882" ht="15.75" customHeight="1">
      <c r="A882" s="1"/>
      <c r="B882" s="1"/>
      <c r="C882" s="1"/>
    </row>
    <row r="883" ht="15.75" customHeight="1">
      <c r="A883" s="1"/>
      <c r="B883" s="1"/>
      <c r="C883" s="1"/>
    </row>
    <row r="884" ht="15.75" customHeight="1">
      <c r="A884" s="1"/>
      <c r="B884" s="1"/>
      <c r="C884" s="1"/>
    </row>
    <row r="885" ht="15.75" customHeight="1">
      <c r="A885" s="1"/>
      <c r="B885" s="1"/>
      <c r="C885" s="1"/>
    </row>
    <row r="886" ht="15.75" customHeight="1">
      <c r="A886" s="1"/>
      <c r="B886" s="1"/>
      <c r="C886" s="1"/>
    </row>
    <row r="887" ht="15.75" customHeight="1">
      <c r="A887" s="1"/>
      <c r="B887" s="1"/>
      <c r="C887" s="1"/>
    </row>
    <row r="888" ht="15.75" customHeight="1">
      <c r="A888" s="1"/>
      <c r="B888" s="1"/>
      <c r="C888" s="1"/>
    </row>
    <row r="889" ht="15.75" customHeight="1">
      <c r="A889" s="1"/>
      <c r="B889" s="1"/>
      <c r="C889" s="1"/>
    </row>
    <row r="890" ht="15.75" customHeight="1">
      <c r="A890" s="1"/>
      <c r="B890" s="1"/>
      <c r="C890" s="1"/>
    </row>
    <row r="891" ht="15.75" customHeight="1">
      <c r="A891" s="1"/>
      <c r="B891" s="1"/>
      <c r="C891" s="1"/>
    </row>
    <row r="892" ht="15.75" customHeight="1">
      <c r="A892" s="1"/>
      <c r="B892" s="1"/>
      <c r="C892" s="1"/>
    </row>
    <row r="893" ht="15.75" customHeight="1">
      <c r="A893" s="1"/>
      <c r="B893" s="1"/>
      <c r="C893" s="1"/>
    </row>
    <row r="894" ht="15.75" customHeight="1">
      <c r="A894" s="1"/>
      <c r="B894" s="1"/>
      <c r="C894" s="1"/>
    </row>
    <row r="895" ht="15.75" customHeight="1">
      <c r="A895" s="1"/>
      <c r="B895" s="1"/>
      <c r="C895" s="1"/>
    </row>
    <row r="896" ht="15.75" customHeight="1">
      <c r="A896" s="1"/>
      <c r="B896" s="1"/>
      <c r="C896" s="1"/>
    </row>
    <row r="897" ht="15.75" customHeight="1">
      <c r="A897" s="1"/>
      <c r="B897" s="1"/>
      <c r="C897" s="1"/>
    </row>
    <row r="898" ht="15.75" customHeight="1">
      <c r="A898" s="1"/>
      <c r="B898" s="1"/>
      <c r="C898" s="1"/>
    </row>
    <row r="899" ht="15.75" customHeight="1">
      <c r="A899" s="1"/>
      <c r="B899" s="1"/>
      <c r="C899" s="1"/>
    </row>
    <row r="900" ht="15.75" customHeight="1">
      <c r="A900" s="1"/>
      <c r="B900" s="1"/>
      <c r="C900" s="1"/>
    </row>
    <row r="901" ht="15.75" customHeight="1">
      <c r="A901" s="1"/>
      <c r="B901" s="1"/>
      <c r="C901" s="1"/>
    </row>
    <row r="902" ht="15.75" customHeight="1">
      <c r="A902" s="1"/>
      <c r="B902" s="1"/>
      <c r="C902" s="1"/>
    </row>
    <row r="903" ht="15.75" customHeight="1">
      <c r="A903" s="1"/>
      <c r="B903" s="1"/>
      <c r="C903" s="1"/>
    </row>
    <row r="904" ht="15.75" customHeight="1">
      <c r="A904" s="1"/>
      <c r="B904" s="1"/>
      <c r="C904" s="1"/>
    </row>
    <row r="905" ht="15.75" customHeight="1">
      <c r="A905" s="1"/>
      <c r="B905" s="1"/>
      <c r="C905" s="1"/>
    </row>
    <row r="906" ht="15.75" customHeight="1">
      <c r="A906" s="1"/>
      <c r="B906" s="1"/>
      <c r="C906" s="1"/>
    </row>
    <row r="907" ht="15.75" customHeight="1">
      <c r="A907" s="1"/>
      <c r="B907" s="1"/>
      <c r="C907" s="1"/>
    </row>
    <row r="908" ht="15.75" customHeight="1">
      <c r="A908" s="1"/>
      <c r="B908" s="1"/>
      <c r="C908" s="1"/>
    </row>
    <row r="909" ht="15.75" customHeight="1">
      <c r="A909" s="1"/>
      <c r="B909" s="1"/>
      <c r="C909" s="1"/>
    </row>
    <row r="910" ht="15.75" customHeight="1">
      <c r="A910" s="1"/>
      <c r="B910" s="1"/>
      <c r="C910" s="1"/>
    </row>
    <row r="911" ht="15.75" customHeight="1">
      <c r="A911" s="1"/>
      <c r="B911" s="1"/>
      <c r="C911" s="1"/>
    </row>
    <row r="912" ht="15.75" customHeight="1">
      <c r="A912" s="1"/>
      <c r="B912" s="1"/>
      <c r="C912" s="1"/>
    </row>
    <row r="913" ht="15.75" customHeight="1">
      <c r="A913" s="1"/>
      <c r="B913" s="1"/>
      <c r="C913" s="1"/>
    </row>
    <row r="914" ht="15.75" customHeight="1">
      <c r="A914" s="1"/>
      <c r="B914" s="1"/>
      <c r="C914" s="1"/>
    </row>
    <row r="915" ht="15.75" customHeight="1">
      <c r="A915" s="1"/>
      <c r="B915" s="1"/>
      <c r="C915" s="1"/>
    </row>
    <row r="916" ht="15.75" customHeight="1">
      <c r="A916" s="1"/>
      <c r="B916" s="1"/>
      <c r="C916" s="1"/>
    </row>
    <row r="917" ht="15.75" customHeight="1">
      <c r="A917" s="1"/>
      <c r="B917" s="1"/>
      <c r="C917" s="1"/>
    </row>
    <row r="918" ht="15.75" customHeight="1">
      <c r="A918" s="1"/>
      <c r="B918" s="1"/>
      <c r="C918" s="1"/>
    </row>
    <row r="919" ht="15.75" customHeight="1">
      <c r="A919" s="1"/>
      <c r="B919" s="1"/>
      <c r="C919" s="1"/>
    </row>
    <row r="920" ht="15.75" customHeight="1">
      <c r="A920" s="1"/>
      <c r="B920" s="1"/>
      <c r="C920" s="1"/>
    </row>
    <row r="921" ht="15.75" customHeight="1">
      <c r="A921" s="1"/>
      <c r="B921" s="1"/>
      <c r="C921" s="1"/>
    </row>
    <row r="922" ht="15.75" customHeight="1">
      <c r="A922" s="1"/>
      <c r="B922" s="1"/>
      <c r="C922" s="1"/>
    </row>
    <row r="923" ht="15.75" customHeight="1">
      <c r="A923" s="1"/>
      <c r="B923" s="1"/>
      <c r="C923" s="1"/>
    </row>
    <row r="924" ht="15.75" customHeight="1">
      <c r="A924" s="1"/>
      <c r="B924" s="1"/>
      <c r="C924" s="1"/>
    </row>
    <row r="925" ht="15.75" customHeight="1">
      <c r="A925" s="1"/>
      <c r="B925" s="1"/>
      <c r="C925" s="1"/>
    </row>
    <row r="926" ht="15.75" customHeight="1">
      <c r="A926" s="1"/>
      <c r="B926" s="1"/>
      <c r="C926" s="1"/>
    </row>
    <row r="927" ht="15.75" customHeight="1">
      <c r="A927" s="1"/>
      <c r="B927" s="1"/>
      <c r="C927" s="1"/>
    </row>
    <row r="928" ht="15.75" customHeight="1">
      <c r="A928" s="1"/>
      <c r="B928" s="1"/>
      <c r="C928" s="1"/>
    </row>
    <row r="929" ht="15.75" customHeight="1">
      <c r="A929" s="1"/>
      <c r="B929" s="1"/>
      <c r="C929" s="1"/>
    </row>
    <row r="930" ht="15.75" customHeight="1">
      <c r="A930" s="1"/>
      <c r="B930" s="1"/>
      <c r="C930" s="1"/>
    </row>
    <row r="931" ht="15.75" customHeight="1">
      <c r="A931" s="1"/>
      <c r="B931" s="1"/>
      <c r="C931" s="1"/>
    </row>
    <row r="932" ht="15.75" customHeight="1">
      <c r="A932" s="1"/>
      <c r="B932" s="1"/>
      <c r="C932" s="1"/>
    </row>
    <row r="933" ht="15.75" customHeight="1">
      <c r="A933" s="1"/>
      <c r="B933" s="1"/>
      <c r="C933" s="1"/>
    </row>
    <row r="934" ht="15.75" customHeight="1">
      <c r="A934" s="1"/>
      <c r="B934" s="1"/>
      <c r="C934" s="1"/>
    </row>
    <row r="935" ht="15.75" customHeight="1">
      <c r="A935" s="1"/>
      <c r="B935" s="1"/>
      <c r="C935" s="1"/>
    </row>
    <row r="936" ht="15.75" customHeight="1">
      <c r="A936" s="1"/>
      <c r="B936" s="1"/>
      <c r="C936" s="1"/>
    </row>
    <row r="937" ht="15.75" customHeight="1">
      <c r="A937" s="1"/>
      <c r="B937" s="1"/>
      <c r="C937" s="1"/>
    </row>
    <row r="938" ht="15.75" customHeight="1">
      <c r="A938" s="1"/>
      <c r="B938" s="1"/>
      <c r="C938" s="1"/>
    </row>
    <row r="939" ht="15.75" customHeight="1">
      <c r="A939" s="1"/>
      <c r="B939" s="1"/>
      <c r="C939" s="1"/>
    </row>
    <row r="940" ht="15.75" customHeight="1">
      <c r="A940" s="1"/>
      <c r="B940" s="1"/>
      <c r="C940" s="1"/>
    </row>
    <row r="941" ht="15.75" customHeight="1">
      <c r="A941" s="1"/>
      <c r="B941" s="1"/>
      <c r="C941" s="1"/>
    </row>
    <row r="942" ht="15.75" customHeight="1">
      <c r="A942" s="1"/>
      <c r="B942" s="1"/>
      <c r="C942" s="1"/>
    </row>
    <row r="943" ht="15.75" customHeight="1">
      <c r="A943" s="1"/>
      <c r="B943" s="1"/>
      <c r="C943" s="1"/>
    </row>
    <row r="944" ht="15.75" customHeight="1">
      <c r="A944" s="1"/>
      <c r="B944" s="1"/>
      <c r="C944" s="1"/>
    </row>
    <row r="945" ht="15.75" customHeight="1">
      <c r="A945" s="1"/>
      <c r="B945" s="1"/>
      <c r="C945" s="1"/>
    </row>
    <row r="946" ht="15.75" customHeight="1">
      <c r="A946" s="1"/>
      <c r="B946" s="1"/>
      <c r="C946" s="1"/>
    </row>
    <row r="947" ht="15.75" customHeight="1">
      <c r="A947" s="1"/>
      <c r="B947" s="1"/>
      <c r="C947" s="1"/>
    </row>
    <row r="948" ht="15.75" customHeight="1">
      <c r="A948" s="1"/>
      <c r="B948" s="1"/>
      <c r="C948" s="1"/>
    </row>
    <row r="949" ht="15.75" customHeight="1">
      <c r="A949" s="1"/>
      <c r="B949" s="1"/>
      <c r="C949" s="1"/>
    </row>
    <row r="950" ht="15.75" customHeight="1">
      <c r="A950" s="1"/>
      <c r="B950" s="1"/>
      <c r="C950" s="1"/>
    </row>
    <row r="951" ht="15.75" customHeight="1">
      <c r="A951" s="1"/>
      <c r="B951" s="1"/>
      <c r="C951" s="1"/>
    </row>
    <row r="952" ht="15.75" customHeight="1">
      <c r="A952" s="1"/>
      <c r="B952" s="1"/>
      <c r="C952" s="1"/>
    </row>
    <row r="953" ht="15.75" customHeight="1">
      <c r="A953" s="1"/>
      <c r="B953" s="1"/>
      <c r="C953" s="1"/>
    </row>
    <row r="954" ht="15.75" customHeight="1">
      <c r="A954" s="1"/>
      <c r="B954" s="1"/>
      <c r="C954" s="1"/>
    </row>
    <row r="955" ht="15.75" customHeight="1">
      <c r="A955" s="1"/>
      <c r="B955" s="1"/>
      <c r="C955" s="1"/>
    </row>
    <row r="956" ht="15.75" customHeight="1">
      <c r="A956" s="1"/>
      <c r="B956" s="1"/>
      <c r="C956" s="1"/>
    </row>
    <row r="957" ht="15.75" customHeight="1">
      <c r="A957" s="1"/>
      <c r="B957" s="1"/>
      <c r="C957" s="1"/>
    </row>
    <row r="958" ht="15.75" customHeight="1">
      <c r="A958" s="1"/>
      <c r="B958" s="1"/>
      <c r="C958" s="1"/>
    </row>
    <row r="959" ht="15.75" customHeight="1">
      <c r="A959" s="1"/>
      <c r="B959" s="1"/>
      <c r="C959" s="1"/>
    </row>
    <row r="960" ht="15.75" customHeight="1">
      <c r="A960" s="1"/>
      <c r="B960" s="1"/>
      <c r="C960" s="1"/>
    </row>
    <row r="961" ht="15.75" customHeight="1">
      <c r="A961" s="1"/>
      <c r="B961" s="1"/>
      <c r="C961" s="1"/>
    </row>
    <row r="962" ht="15.75" customHeight="1">
      <c r="A962" s="1"/>
      <c r="B962" s="1"/>
      <c r="C962" s="1"/>
    </row>
    <row r="963" ht="15.75" customHeight="1">
      <c r="A963" s="1"/>
      <c r="B963" s="1"/>
      <c r="C963" s="1"/>
    </row>
    <row r="964" ht="15.75" customHeight="1">
      <c r="A964" s="1"/>
      <c r="B964" s="1"/>
      <c r="C964" s="1"/>
    </row>
    <row r="965" ht="15.75" customHeight="1">
      <c r="A965" s="1"/>
      <c r="B965" s="1"/>
      <c r="C965" s="1"/>
    </row>
    <row r="966" ht="15.75" customHeight="1">
      <c r="A966" s="1"/>
      <c r="B966" s="1"/>
      <c r="C966" s="1"/>
    </row>
    <row r="967" ht="15.75" customHeight="1">
      <c r="A967" s="1"/>
      <c r="B967" s="1"/>
      <c r="C967" s="1"/>
    </row>
    <row r="968" ht="15.75" customHeight="1">
      <c r="A968" s="1"/>
      <c r="B968" s="1"/>
      <c r="C968" s="1"/>
    </row>
    <row r="969" ht="15.75" customHeight="1">
      <c r="A969" s="1"/>
      <c r="B969" s="1"/>
      <c r="C969" s="1"/>
    </row>
    <row r="970" ht="15.75" customHeight="1">
      <c r="A970" s="1"/>
      <c r="B970" s="1"/>
      <c r="C970" s="1"/>
    </row>
    <row r="971" ht="15.75" customHeight="1">
      <c r="A971" s="1"/>
      <c r="B971" s="1"/>
      <c r="C971" s="1"/>
    </row>
    <row r="972" ht="15.75" customHeight="1">
      <c r="A972" s="1"/>
      <c r="B972" s="1"/>
      <c r="C972" s="1"/>
    </row>
    <row r="973" ht="15.75" customHeight="1">
      <c r="A973" s="1"/>
      <c r="B973" s="1"/>
      <c r="C973" s="1"/>
    </row>
    <row r="974" ht="15.75" customHeight="1">
      <c r="A974" s="1"/>
      <c r="B974" s="1"/>
      <c r="C974" s="1"/>
    </row>
    <row r="975" ht="15.75" customHeight="1">
      <c r="A975" s="1"/>
      <c r="B975" s="1"/>
      <c r="C975" s="1"/>
    </row>
    <row r="976" ht="15.75" customHeight="1">
      <c r="A976" s="1"/>
      <c r="B976" s="1"/>
      <c r="C976" s="1"/>
    </row>
    <row r="977" ht="15.75" customHeight="1">
      <c r="A977" s="1"/>
      <c r="B977" s="1"/>
      <c r="C977" s="1"/>
    </row>
    <row r="978" ht="15.75" customHeight="1">
      <c r="A978" s="1"/>
      <c r="B978" s="1"/>
      <c r="C978" s="1"/>
    </row>
    <row r="979" ht="15.75" customHeight="1">
      <c r="A979" s="1"/>
      <c r="B979" s="1"/>
      <c r="C979" s="1"/>
    </row>
    <row r="980" ht="15.75" customHeight="1">
      <c r="A980" s="1"/>
      <c r="B980" s="1"/>
      <c r="C980" s="1"/>
    </row>
    <row r="981" ht="15.75" customHeight="1">
      <c r="A981" s="1"/>
      <c r="B981" s="1"/>
      <c r="C981" s="1"/>
    </row>
    <row r="982" ht="15.75" customHeight="1">
      <c r="A982" s="1"/>
      <c r="B982" s="1"/>
      <c r="C982" s="1"/>
    </row>
    <row r="983" ht="15.75" customHeight="1">
      <c r="A983" s="1"/>
      <c r="B983" s="1"/>
      <c r="C983" s="1"/>
    </row>
    <row r="984" ht="15.75" customHeight="1">
      <c r="A984" s="1"/>
      <c r="B984" s="1"/>
      <c r="C984" s="1"/>
    </row>
    <row r="985" ht="15.75" customHeight="1">
      <c r="A985" s="1"/>
      <c r="B985" s="1"/>
      <c r="C985" s="1"/>
    </row>
    <row r="986" ht="15.75" customHeight="1">
      <c r="A986" s="1"/>
      <c r="B986" s="1"/>
      <c r="C986" s="1"/>
    </row>
    <row r="987" ht="15.75" customHeight="1">
      <c r="A987" s="1"/>
      <c r="B987" s="1"/>
      <c r="C987" s="1"/>
    </row>
    <row r="988" ht="15.75" customHeight="1">
      <c r="A988" s="1"/>
      <c r="B988" s="1"/>
      <c r="C988" s="1"/>
    </row>
    <row r="989" ht="15.75" customHeight="1">
      <c r="A989" s="1"/>
      <c r="B989" s="1"/>
      <c r="C989" s="1"/>
    </row>
    <row r="990" ht="15.75" customHeight="1">
      <c r="A990" s="1"/>
      <c r="B990" s="1"/>
      <c r="C990" s="1"/>
    </row>
    <row r="991" ht="15.75" customHeight="1">
      <c r="A991" s="1"/>
      <c r="B991" s="1"/>
      <c r="C991" s="1"/>
    </row>
    <row r="992" ht="15.75" customHeight="1">
      <c r="A992" s="1"/>
      <c r="B992" s="1"/>
      <c r="C992" s="1"/>
    </row>
    <row r="993" ht="15.75" customHeight="1">
      <c r="A993" s="1"/>
      <c r="B993" s="1"/>
      <c r="C993" s="1"/>
    </row>
    <row r="994" ht="15.75" customHeight="1">
      <c r="A994" s="1"/>
      <c r="B994" s="1"/>
      <c r="C994" s="1"/>
    </row>
    <row r="995" ht="15.75" customHeight="1">
      <c r="A995" s="1"/>
      <c r="B995" s="1"/>
      <c r="C995" s="1"/>
    </row>
    <row r="996" ht="15.75" customHeight="1">
      <c r="A996" s="1"/>
      <c r="B996" s="1"/>
      <c r="C996" s="1"/>
    </row>
    <row r="997" ht="15.75" customHeight="1">
      <c r="A997" s="1"/>
      <c r="B997" s="1"/>
      <c r="C997" s="1"/>
    </row>
    <row r="998" ht="15.75" customHeight="1">
      <c r="A998" s="1"/>
      <c r="B998" s="1"/>
      <c r="C998" s="1"/>
    </row>
    <row r="999" ht="15.75" customHeight="1">
      <c r="A999" s="1"/>
      <c r="B999" s="1"/>
      <c r="C999" s="1"/>
    </row>
    <row r="1000" ht="15.75" customHeight="1">
      <c r="A1000" s="1"/>
      <c r="B1000" s="1"/>
      <c r="C1000" s="1"/>
    </row>
  </sheetData>
  <mergeCells count="47">
    <mergeCell ref="A5:E5"/>
    <mergeCell ref="A24:G24"/>
    <mergeCell ref="A37:G37"/>
    <mergeCell ref="B39:D39"/>
    <mergeCell ref="E39:G39"/>
    <mergeCell ref="B40:D40"/>
    <mergeCell ref="E40:G40"/>
    <mergeCell ref="B41:D41"/>
    <mergeCell ref="E41:G41"/>
    <mergeCell ref="A48:N48"/>
    <mergeCell ref="A50:N50"/>
    <mergeCell ref="D51:F51"/>
    <mergeCell ref="G51:I51"/>
    <mergeCell ref="J51:L51"/>
    <mergeCell ref="A65:N65"/>
    <mergeCell ref="D66:F66"/>
    <mergeCell ref="G66:I66"/>
    <mergeCell ref="J66:L66"/>
    <mergeCell ref="A76:N76"/>
    <mergeCell ref="D77:F77"/>
    <mergeCell ref="G77:I77"/>
    <mergeCell ref="G99:I99"/>
    <mergeCell ref="J99:L99"/>
    <mergeCell ref="J77:L77"/>
    <mergeCell ref="A87:N87"/>
    <mergeCell ref="D88:F88"/>
    <mergeCell ref="G88:I88"/>
    <mergeCell ref="J88:L88"/>
    <mergeCell ref="A98:N98"/>
    <mergeCell ref="D99:F99"/>
    <mergeCell ref="A109:N109"/>
    <mergeCell ref="D110:F110"/>
    <mergeCell ref="G110:I110"/>
    <mergeCell ref="J110:L110"/>
    <mergeCell ref="A120:N120"/>
    <mergeCell ref="D121:F121"/>
    <mergeCell ref="G121:I121"/>
    <mergeCell ref="A176:N176"/>
    <mergeCell ref="B178:P178"/>
    <mergeCell ref="B201:P201"/>
    <mergeCell ref="J121:L121"/>
    <mergeCell ref="A132:N132"/>
    <mergeCell ref="A142:N142"/>
    <mergeCell ref="A154:N154"/>
    <mergeCell ref="A156:A160"/>
    <mergeCell ref="A163:A167"/>
    <mergeCell ref="A170:A174"/>
  </mergeCells>
  <printOptions/>
  <pageMargins bottom="0.787401575" footer="0.0" header="0.0" left="0.511811024" right="0.511811024" top="0.787401575"/>
  <pageSetup paperSize="9" orientation="portrait"/>
  <drawing r:id="rId1"/>
</worksheet>
</file>