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- BKP NOTEBOOK\Desktop\UNIPAMPA\Irrigação I\"/>
    </mc:Choice>
  </mc:AlternateContent>
  <xr:revisionPtr revIDLastSave="0" documentId="13_ncr:1_{5EBE4010-C653-4761-AEF5-A39F73AADA1F}" xr6:coauthVersionLast="47" xr6:coauthVersionMax="47" xr10:uidLastSave="{00000000-0000-0000-0000-000000000000}"/>
  <bookViews>
    <workbookView xWindow="-120" yWindow="-120" windowWidth="20730" windowHeight="11160" xr2:uid="{972C05DF-5959-4464-9401-3C4C4EDD7D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B18" i="1"/>
  <c r="D13" i="1"/>
  <c r="B36" i="1" l="1"/>
  <c r="B28" i="1"/>
  <c r="D7" i="1"/>
  <c r="B22" i="1" s="1"/>
  <c r="B24" i="1" s="1"/>
  <c r="B30" i="1" l="1"/>
  <c r="B37" i="1"/>
  <c r="B38" i="1" s="1"/>
  <c r="B34" i="1"/>
</calcChain>
</file>

<file path=xl/sharedStrings.xml><?xml version="1.0" encoding="utf-8"?>
<sst xmlns="http://schemas.openxmlformats.org/spreadsheetml/2006/main" count="52" uniqueCount="40">
  <si>
    <t>%</t>
  </si>
  <si>
    <t>mm</t>
  </si>
  <si>
    <t>ETC</t>
  </si>
  <si>
    <t>mm/dia</t>
  </si>
  <si>
    <t>Parâmetro</t>
  </si>
  <si>
    <t>Valor</t>
  </si>
  <si>
    <t>Unidade</t>
  </si>
  <si>
    <t>Dados de entrada</t>
  </si>
  <si>
    <t>L/s</t>
  </si>
  <si>
    <t>Φ</t>
  </si>
  <si>
    <t>mm³/mm³</t>
  </si>
  <si>
    <t>K0</t>
  </si>
  <si>
    <t>DTA</t>
  </si>
  <si>
    <t>mm/cm</t>
  </si>
  <si>
    <t>Z</t>
  </si>
  <si>
    <t>cm</t>
  </si>
  <si>
    <t>f</t>
  </si>
  <si>
    <t>Lm</t>
  </si>
  <si>
    <t>Pp</t>
  </si>
  <si>
    <t>TR</t>
  </si>
  <si>
    <t>dias</t>
  </si>
  <si>
    <t>TEMPO DE ENCHIMENTO ou TURNO DE REGA</t>
  </si>
  <si>
    <t>VAZÃO DE ENCHIMENTO</t>
  </si>
  <si>
    <t>Qe</t>
  </si>
  <si>
    <t>A</t>
  </si>
  <si>
    <t>ha</t>
  </si>
  <si>
    <t>VAZÃO DE MANUTENÇÃO</t>
  </si>
  <si>
    <t>Qm</t>
  </si>
  <si>
    <t>Conversão</t>
  </si>
  <si>
    <t>EFICIÊNCIA DA IRRIGAÇÃO</t>
  </si>
  <si>
    <t>Ec</t>
  </si>
  <si>
    <t>Qd</t>
  </si>
  <si>
    <t>Les</t>
  </si>
  <si>
    <t>Eto</t>
  </si>
  <si>
    <t>Ea</t>
  </si>
  <si>
    <t>mm/semana</t>
  </si>
  <si>
    <t>Las</t>
  </si>
  <si>
    <t>m²</t>
  </si>
  <si>
    <t>L/s/ha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</si>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</sst>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33CC"/>
      <name val="Calibri"/>
      <family val="2"/>
      <scheme val="minor"/>
    </font>
    <font>
      <sz val="11"/>
      <color theme="1"/>
      <name val="Aptos Narrow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/>
    <xf numFmtId="164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114301</xdr:colOff>
      <xdr:row>16</xdr:row>
      <xdr:rowOff>0</xdr:rowOff>
    </xdr:from>
    <xdr:to>
      <xdr:col>7</xdr:col>
      <xdr:colOff>38100</xdr:colOff>
      <xdr:row>18</xdr:row>
      <xdr:rowOff>145619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1">
              <a:extLst>
                <a:ext uri="{FF2B5EF4-FFF2-40B4-BE49-F238E27FC236}">
                  <a16:creationId xmlns:a16="http://schemas.microsoft.com/office/drawing/2014/main" id="{88F5A250-F191-B4B3-952C-B8052DBCC802}"/>
                </a:ext>
              </a:extLst>
            </xdr:cNvPr>
            <xdr:cNvSpPr txBox="1"/>
          </xdr:nvSpPr>
          <xdr:spPr>
            <a:xfrm>
              <a:off x="4371976" y="3429000"/>
              <a:ext cx="1885949" cy="52661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pt-B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800" b="0" i="1">
                        <a:latin typeface="Cambria Math" panose="02040503050406030204" pitchFamily="18" charset="0"/>
                      </a:rPr>
                      <m:t>𝑇𝑅</m:t>
                    </m:r>
                    <m:r>
                      <a:rPr lang="pt-BR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𝐷𝑇𝐴</m:t>
                        </m:r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𝑍</m:t>
                        </m:r>
                      </m:num>
                      <m:den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𝐸𝑇𝑐</m:t>
                        </m:r>
                      </m:den>
                    </m:f>
                  </m:oMath>
                </m:oMathPara>
              </a14:m>
              <a:endParaRPr lang="pt-BR" sz="1800"/>
            </a:p>
          </xdr:txBody>
        </xdr:sp>
      </mc:Choice>
      <mc:Fallback xmlns="">
        <xdr:sp macro="" textlink="">
          <xdr:nvSpPr>
            <xdr:cNvPr id="4" name="CaixaDeTexto 1">
              <a:extLst>
                <a:ext uri="{FF2B5EF4-FFF2-40B4-BE49-F238E27FC236}">
                  <a16:creationId xmlns:a16="http://schemas.microsoft.com/office/drawing/2014/main" id="{88F5A250-F191-B4B3-952C-B8052DBCC802}"/>
                </a:ext>
              </a:extLst>
            </xdr:cNvPr>
            <xdr:cNvSpPr txBox="1"/>
          </xdr:nvSpPr>
          <xdr:spPr>
            <a:xfrm>
              <a:off x="4371976" y="3429000"/>
              <a:ext cx="1885949" cy="52661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pt-B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/>
              <a:r>
                <a:rPr lang="pt-BR" sz="1800" b="0" i="0">
                  <a:latin typeface="Cambria Math" panose="02040503050406030204" pitchFamily="18" charset="0"/>
                </a:rPr>
                <a:t>𝑇𝑅=(𝐷𝑇𝐴∗𝑓∗𝑍)/𝐸𝑇𝑐</a:t>
              </a:r>
              <a:endParaRPr lang="pt-BR" sz="1800"/>
            </a:p>
          </xdr:txBody>
        </xdr:sp>
      </mc:Fallback>
    </mc:AlternateContent>
    <xdr:clientData/>
  </xdr:twoCellAnchor>
  <xdr:twoCellAnchor editAs="oneCell">
    <xdr:from>
      <xdr:col>3</xdr:col>
      <xdr:colOff>52916</xdr:colOff>
      <xdr:row>20</xdr:row>
      <xdr:rowOff>186806</xdr:rowOff>
    </xdr:from>
    <xdr:to>
      <xdr:col>7</xdr:col>
      <xdr:colOff>443441</xdr:colOff>
      <xdr:row>23</xdr:row>
      <xdr:rowOff>177280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AE10795-91EC-9641-34BF-CC259FDBF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8124" y="4377806"/>
          <a:ext cx="3888317" cy="561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247649</xdr:colOff>
      <xdr:row>27</xdr:row>
      <xdr:rowOff>28575</xdr:rowOff>
    </xdr:from>
    <xdr:to>
      <xdr:col>6</xdr:col>
      <xdr:colOff>496658</xdr:colOff>
      <xdr:row>30</xdr:row>
      <xdr:rowOff>9524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A62FC73-A8FA-9236-BB1B-C22775F1D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299" y="4791075"/>
          <a:ext cx="2801709" cy="552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323850</xdr:colOff>
      <xdr:row>32</xdr:row>
      <xdr:rowOff>114300</xdr:rowOff>
    </xdr:from>
    <xdr:to>
      <xdr:col>4</xdr:col>
      <xdr:colOff>561975</xdr:colOff>
      <xdr:row>35</xdr:row>
      <xdr:rowOff>48271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A1027BF-1AE8-5BBE-31E6-D0DD34391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6591300"/>
          <a:ext cx="1000125" cy="5054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368550</xdr:colOff>
      <xdr:row>35</xdr:row>
      <xdr:rowOff>64045</xdr:rowOff>
    </xdr:from>
    <xdr:to>
      <xdr:col>4</xdr:col>
      <xdr:colOff>673350</xdr:colOff>
      <xdr:row>38</xdr:row>
      <xdr:rowOff>186951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850CB8DB-B82F-9049-C73C-D09F46D4F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7182" y="7112545"/>
          <a:ext cx="1066800" cy="694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39593</xdr:colOff>
      <xdr:row>32</xdr:row>
      <xdr:rowOff>129427</xdr:rowOff>
    </xdr:from>
    <xdr:to>
      <xdr:col>6</xdr:col>
      <xdr:colOff>571936</xdr:colOff>
      <xdr:row>36</xdr:row>
      <xdr:rowOff>130331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6DD385AC-2BA4-CFB0-5861-47AC739E5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3431" y="6606427"/>
          <a:ext cx="1552079" cy="7629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592E-E6AB-4683-985E-07DA2433E8ED}">
  <dimension ref="A2:H38"/>
  <sheetViews>
    <sheetView tabSelected="1" topLeftCell="A40" zoomScale="170" zoomScaleNormal="170" workbookViewId="0">
      <selection activeCell="F14" sqref="F14"/>
    </sheetView>
  </sheetViews>
  <sheetFormatPr defaultRowHeight="15" x14ac:dyDescent="0.25"/>
  <cols>
    <col min="1" max="1" width="17.140625" style="1" customWidth="1"/>
    <col min="2" max="2" width="11.5703125" style="1" customWidth="1"/>
    <col min="3" max="3" width="12.140625" style="1" customWidth="1"/>
    <col min="4" max="4" width="11.42578125" customWidth="1"/>
    <col min="5" max="5" width="11.5703125" customWidth="1"/>
    <col min="6" max="6" width="15.28515625" bestFit="1" customWidth="1"/>
    <col min="7" max="7" width="14.140625" bestFit="1" customWidth="1"/>
    <col min="8" max="8" width="12.5703125" bestFit="1" customWidth="1"/>
    <col min="9" max="9" width="14.5703125" bestFit="1" customWidth="1"/>
    <col min="10" max="10" width="9.5703125" bestFit="1" customWidth="1"/>
    <col min="11" max="11" width="12" bestFit="1" customWidth="1"/>
    <col min="13" max="13" width="9.5703125" bestFit="1" customWidth="1"/>
    <col min="15" max="15" width="21.5703125" bestFit="1" customWidth="1"/>
    <col min="16" max="16" width="11.85546875" bestFit="1" customWidth="1"/>
  </cols>
  <sheetData>
    <row r="2" spans="1:7" x14ac:dyDescent="0.25">
      <c r="A2" s="15" t="s">
        <v>7</v>
      </c>
      <c r="B2" s="16"/>
      <c r="C2" s="16"/>
      <c r="D2" s="16"/>
      <c r="E2" s="16"/>
    </row>
    <row r="3" spans="1:7" x14ac:dyDescent="0.25">
      <c r="A3" s="3" t="s">
        <v>4</v>
      </c>
      <c r="B3" s="3" t="s">
        <v>5</v>
      </c>
      <c r="C3" s="3" t="s">
        <v>6</v>
      </c>
      <c r="D3" s="3" t="s">
        <v>28</v>
      </c>
      <c r="E3" s="3" t="s">
        <v>6</v>
      </c>
    </row>
    <row r="4" spans="1:7" x14ac:dyDescent="0.25">
      <c r="A4" s="8" t="s">
        <v>9</v>
      </c>
      <c r="B4" s="2">
        <v>0.5</v>
      </c>
      <c r="C4" s="2" t="s">
        <v>10</v>
      </c>
      <c r="D4" s="2"/>
      <c r="E4" s="2"/>
    </row>
    <row r="5" spans="1:7" x14ac:dyDescent="0.25">
      <c r="A5" s="2" t="s">
        <v>11</v>
      </c>
      <c r="B5" s="2">
        <v>7</v>
      </c>
      <c r="C5" s="2" t="s">
        <v>3</v>
      </c>
      <c r="D5" s="2"/>
      <c r="E5" s="2"/>
    </row>
    <row r="6" spans="1:7" x14ac:dyDescent="0.25">
      <c r="A6" s="2" t="s">
        <v>12</v>
      </c>
      <c r="B6" s="2">
        <v>2</v>
      </c>
      <c r="C6" s="2" t="s">
        <v>13</v>
      </c>
      <c r="D6" s="2"/>
      <c r="E6" s="2"/>
    </row>
    <row r="7" spans="1:7" x14ac:dyDescent="0.25">
      <c r="A7" s="2" t="s">
        <v>14</v>
      </c>
      <c r="B7" s="2">
        <v>50</v>
      </c>
      <c r="C7" s="2" t="s">
        <v>15</v>
      </c>
      <c r="D7" s="2">
        <f>B7*10</f>
        <v>500</v>
      </c>
      <c r="E7" s="2" t="s">
        <v>1</v>
      </c>
    </row>
    <row r="8" spans="1:7" x14ac:dyDescent="0.25">
      <c r="A8" s="2" t="s">
        <v>33</v>
      </c>
      <c r="B8" s="2">
        <v>9</v>
      </c>
      <c r="C8" s="2" t="s">
        <v>3</v>
      </c>
      <c r="D8" s="2"/>
      <c r="E8" s="2"/>
    </row>
    <row r="9" spans="1:7" x14ac:dyDescent="0.25">
      <c r="A9" s="2" t="s">
        <v>2</v>
      </c>
      <c r="B9" s="2">
        <v>7.2</v>
      </c>
      <c r="C9" s="2" t="s">
        <v>3</v>
      </c>
      <c r="D9" s="2"/>
      <c r="E9" s="2"/>
    </row>
    <row r="10" spans="1:7" x14ac:dyDescent="0.25">
      <c r="A10" s="2" t="s">
        <v>16</v>
      </c>
      <c r="B10" s="2">
        <v>0.5</v>
      </c>
      <c r="C10" s="2"/>
      <c r="D10" s="2"/>
      <c r="E10" s="2"/>
    </row>
    <row r="11" spans="1:7" x14ac:dyDescent="0.25">
      <c r="A11" s="2" t="s">
        <v>17</v>
      </c>
      <c r="B11" s="2">
        <v>150</v>
      </c>
      <c r="C11" s="2" t="s">
        <v>1</v>
      </c>
      <c r="D11" s="2"/>
      <c r="E11" s="2"/>
    </row>
    <row r="12" spans="1:7" x14ac:dyDescent="0.25">
      <c r="A12" s="2" t="s">
        <v>18</v>
      </c>
      <c r="B12" s="2">
        <v>0</v>
      </c>
      <c r="C12" s="2"/>
      <c r="D12" s="2"/>
      <c r="E12" s="2"/>
    </row>
    <row r="13" spans="1:7" x14ac:dyDescent="0.25">
      <c r="A13" s="2" t="s">
        <v>24</v>
      </c>
      <c r="B13" s="2">
        <v>2</v>
      </c>
      <c r="C13" s="2" t="s">
        <v>25</v>
      </c>
      <c r="D13" s="2">
        <f>B13*10000</f>
        <v>20000</v>
      </c>
      <c r="E13" s="2" t="s">
        <v>37</v>
      </c>
    </row>
    <row r="14" spans="1:7" x14ac:dyDescent="0.25">
      <c r="A14" s="2" t="s">
        <v>31</v>
      </c>
      <c r="B14" s="2">
        <v>36</v>
      </c>
      <c r="C14" s="2" t="s">
        <v>8</v>
      </c>
      <c r="D14" s="2"/>
      <c r="E14" s="2"/>
    </row>
    <row r="15" spans="1:7" x14ac:dyDescent="0.25">
      <c r="D15" s="1"/>
      <c r="E15" s="1"/>
    </row>
    <row r="16" spans="1:7" x14ac:dyDescent="0.25">
      <c r="A16" s="16" t="s">
        <v>21</v>
      </c>
      <c r="B16" s="16"/>
      <c r="C16" s="16"/>
      <c r="D16" s="16"/>
      <c r="E16" s="16"/>
      <c r="F16" s="9"/>
      <c r="G16" s="9"/>
    </row>
    <row r="18" spans="1:5" x14ac:dyDescent="0.25">
      <c r="A18" s="2" t="s">
        <v>19</v>
      </c>
      <c r="B18" s="5">
        <f>(B6*B10*B7)/B9</f>
        <v>6.9444444444444446</v>
      </c>
      <c r="C18" s="2" t="s">
        <v>20</v>
      </c>
      <c r="D18" s="4">
        <v>7</v>
      </c>
      <c r="E18" s="2" t="s">
        <v>20</v>
      </c>
    </row>
    <row r="19" spans="1:5" x14ac:dyDescent="0.25">
      <c r="B19" s="6"/>
    </row>
    <row r="20" spans="1:5" x14ac:dyDescent="0.25">
      <c r="A20" s="16" t="s">
        <v>22</v>
      </c>
      <c r="B20" s="16"/>
      <c r="C20" s="16"/>
      <c r="D20" s="16"/>
      <c r="E20" s="16"/>
    </row>
    <row r="22" spans="1:5" x14ac:dyDescent="0.25">
      <c r="A22" s="2" t="s">
        <v>23</v>
      </c>
      <c r="B22" s="12">
        <f>0.116*((B4*D7)+B11+(B9*D18)+(B5*D18))*(B13/D18)</f>
        <v>16.551542857142856</v>
      </c>
      <c r="C22" s="2" t="s">
        <v>8</v>
      </c>
      <c r="D22" s="11"/>
      <c r="E22" s="1"/>
    </row>
    <row r="23" spans="1:5" x14ac:dyDescent="0.25">
      <c r="B23" s="10"/>
      <c r="D23" s="11"/>
      <c r="E23" s="1"/>
    </row>
    <row r="24" spans="1:5" x14ac:dyDescent="0.25">
      <c r="A24" s="2" t="s">
        <v>23</v>
      </c>
      <c r="B24" s="12">
        <f>B22/B13</f>
        <v>8.2757714285714279</v>
      </c>
      <c r="C24" s="2" t="s">
        <v>38</v>
      </c>
      <c r="D24" s="11"/>
      <c r="E24" s="1"/>
    </row>
    <row r="25" spans="1:5" x14ac:dyDescent="0.25">
      <c r="B25" s="13"/>
      <c r="D25" s="11"/>
      <c r="E25" s="1"/>
    </row>
    <row r="26" spans="1:5" x14ac:dyDescent="0.25">
      <c r="A26" s="16" t="s">
        <v>26</v>
      </c>
      <c r="B26" s="16"/>
      <c r="C26" s="16"/>
      <c r="D26" s="16"/>
      <c r="E26" s="16"/>
    </row>
    <row r="28" spans="1:5" x14ac:dyDescent="0.25">
      <c r="A28" s="2" t="s">
        <v>27</v>
      </c>
      <c r="B28" s="12">
        <f>0.116*(B9+B5)*B13</f>
        <v>3.2944</v>
      </c>
      <c r="C28" s="2" t="s">
        <v>8</v>
      </c>
      <c r="D28" s="11"/>
      <c r="E28" s="1"/>
    </row>
    <row r="29" spans="1:5" x14ac:dyDescent="0.25">
      <c r="B29" s="10"/>
      <c r="D29" s="11"/>
      <c r="E29" s="1"/>
    </row>
    <row r="30" spans="1:5" x14ac:dyDescent="0.25">
      <c r="A30" s="2" t="s">
        <v>27</v>
      </c>
      <c r="B30" s="12">
        <f>B28/B13</f>
        <v>1.6472</v>
      </c>
      <c r="C30" s="2" t="s">
        <v>38</v>
      </c>
      <c r="D30" s="11"/>
      <c r="E30" s="1"/>
    </row>
    <row r="31" spans="1:5" x14ac:dyDescent="0.25">
      <c r="B31" s="13"/>
      <c r="D31" s="11"/>
      <c r="E31" s="1"/>
    </row>
    <row r="32" spans="1:5" x14ac:dyDescent="0.25">
      <c r="A32" s="16" t="s">
        <v>29</v>
      </c>
      <c r="B32" s="16"/>
      <c r="C32" s="16"/>
      <c r="D32" s="16"/>
      <c r="E32" s="16"/>
    </row>
    <row r="33" spans="1:8" x14ac:dyDescent="0.25">
      <c r="B33" s="13"/>
      <c r="D33" s="11"/>
      <c r="E33" s="1"/>
      <c r="H33" s="17" t="s">
        <v>39</v>
      </c>
    </row>
    <row r="34" spans="1:8" x14ac:dyDescent="0.25">
      <c r="A34" s="2" t="s">
        <v>30</v>
      </c>
      <c r="B34" s="12">
        <f>(B28/B14)*100</f>
        <v>9.1511111111111116</v>
      </c>
      <c r="C34" s="2" t="s">
        <v>0</v>
      </c>
      <c r="D34" s="11"/>
      <c r="E34" s="1"/>
      <c r="H34" s="2">
        <f>7*24</f>
        <v>168</v>
      </c>
    </row>
    <row r="35" spans="1:8" x14ac:dyDescent="0.25">
      <c r="B35" s="13"/>
      <c r="D35" s="11"/>
      <c r="E35" s="1"/>
    </row>
    <row r="36" spans="1:8" x14ac:dyDescent="0.25">
      <c r="A36" s="2" t="s">
        <v>32</v>
      </c>
      <c r="B36" s="14">
        <f>B8*7</f>
        <v>63</v>
      </c>
      <c r="C36" s="2" t="s">
        <v>35</v>
      </c>
      <c r="D36" s="11"/>
      <c r="E36" s="1"/>
    </row>
    <row r="37" spans="1:8" x14ac:dyDescent="0.25">
      <c r="A37" s="2" t="s">
        <v>36</v>
      </c>
      <c r="B37" s="7">
        <f>((B28*168)/D13)*3600</f>
        <v>99.622656000000006</v>
      </c>
      <c r="C37" s="2" t="s">
        <v>35</v>
      </c>
    </row>
    <row r="38" spans="1:8" x14ac:dyDescent="0.25">
      <c r="A38" s="2" t="s">
        <v>34</v>
      </c>
      <c r="B38" s="12">
        <f>B36/B37*100</f>
        <v>63.238627165290595</v>
      </c>
      <c r="C38" s="2" t="s">
        <v>0</v>
      </c>
    </row>
  </sheetData>
  <mergeCells count="5">
    <mergeCell ref="A2:E2"/>
    <mergeCell ref="A16:E16"/>
    <mergeCell ref="A20:E20"/>
    <mergeCell ref="A26:E26"/>
    <mergeCell ref="A32:E3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Letícia Possel</dc:creator>
  <cp:lastModifiedBy>Chaiane Guerra da Conceição</cp:lastModifiedBy>
  <cp:lastPrinted>2026-04-29T19:37:43Z</cp:lastPrinted>
  <dcterms:created xsi:type="dcterms:W3CDTF">2025-12-06T17:56:47Z</dcterms:created>
  <dcterms:modified xsi:type="dcterms:W3CDTF">2026-06-17T12:28:18Z</dcterms:modified>
</cp:coreProperties>
</file>