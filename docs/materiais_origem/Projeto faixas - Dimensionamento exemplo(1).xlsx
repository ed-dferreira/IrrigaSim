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- BKP NOTEBOOK\Desktop\UNIPAMPA\Irrigação I\"/>
    </mc:Choice>
  </mc:AlternateContent>
  <xr:revisionPtr revIDLastSave="0" documentId="13_ncr:1_{6DA2C4FA-5874-4278-A374-7BA08027CE73}" xr6:coauthVersionLast="47" xr6:coauthVersionMax="47" xr10:uidLastSave="{00000000-0000-0000-0000-000000000000}"/>
  <bookViews>
    <workbookView xWindow="-120" yWindow="-120" windowWidth="20730" windowHeight="11160" xr2:uid="{972C05DF-5959-4464-9401-3C4C4EDD7D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7" i="1" l="1"/>
  <c r="C181" i="1"/>
  <c r="G191" i="1"/>
  <c r="G182" i="1"/>
  <c r="G183" i="1"/>
  <c r="G184" i="1"/>
  <c r="G185" i="1"/>
  <c r="G186" i="1"/>
  <c r="G187" i="1"/>
  <c r="G188" i="1"/>
  <c r="G189" i="1"/>
  <c r="G181" i="1"/>
  <c r="G190" i="1"/>
  <c r="G180" i="1"/>
  <c r="F180" i="1"/>
  <c r="E180" i="1"/>
  <c r="D180" i="1"/>
  <c r="K148" i="1"/>
  <c r="K147" i="1"/>
  <c r="C174" i="1"/>
  <c r="D174" i="1" s="1"/>
  <c r="E174" i="1" s="1"/>
  <c r="F174" i="1" s="1"/>
  <c r="C173" i="1"/>
  <c r="D173" i="1" s="1"/>
  <c r="E173" i="1" s="1"/>
  <c r="F173" i="1" s="1"/>
  <c r="C172" i="1"/>
  <c r="D172" i="1" s="1"/>
  <c r="E172" i="1" s="1"/>
  <c r="F172" i="1" s="1"/>
  <c r="E171" i="1"/>
  <c r="D171" i="1"/>
  <c r="C171" i="1"/>
  <c r="C167" i="1"/>
  <c r="D167" i="1" s="1"/>
  <c r="E167" i="1" s="1"/>
  <c r="F167" i="1" s="1"/>
  <c r="C166" i="1"/>
  <c r="D166" i="1" s="1"/>
  <c r="E166" i="1" s="1"/>
  <c r="F166" i="1" s="1"/>
  <c r="C165" i="1"/>
  <c r="D165" i="1" s="1"/>
  <c r="E165" i="1" s="1"/>
  <c r="F165" i="1" s="1"/>
  <c r="C164" i="1"/>
  <c r="E164" i="1"/>
  <c r="D164" i="1"/>
  <c r="C158" i="1"/>
  <c r="D157" i="1"/>
  <c r="C157" i="1"/>
  <c r="D144" i="1"/>
  <c r="C134" i="1"/>
  <c r="A170" i="1"/>
  <c r="A163" i="1"/>
  <c r="A156" i="1"/>
  <c r="B140" i="1"/>
  <c r="C140" i="1" s="1"/>
  <c r="B139" i="1"/>
  <c r="C139" i="1" s="1"/>
  <c r="C138" i="1"/>
  <c r="G138" i="1" s="1"/>
  <c r="B138" i="1"/>
  <c r="B137" i="1"/>
  <c r="C137" i="1" s="1"/>
  <c r="B136" i="1"/>
  <c r="C136" i="1" s="1"/>
  <c r="B135" i="1"/>
  <c r="C135" i="1" s="1"/>
  <c r="B134" i="1"/>
  <c r="G135" i="1" l="1"/>
  <c r="G136" i="1"/>
  <c r="G137" i="1"/>
  <c r="G140" i="1"/>
  <c r="G134" i="1"/>
  <c r="G139" i="1"/>
  <c r="O211" i="1" l="1"/>
  <c r="O214" i="1" s="1"/>
  <c r="O220" i="1" s="1"/>
  <c r="O188" i="1"/>
  <c r="O217" i="1"/>
  <c r="O208" i="1"/>
  <c r="O194" i="1"/>
  <c r="O189" i="1"/>
  <c r="O185" i="1"/>
  <c r="B226" i="1"/>
  <c r="B227" i="1" s="1"/>
  <c r="B204" i="1"/>
  <c r="B205" i="1" s="1"/>
  <c r="B181" i="1"/>
  <c r="B182" i="1" s="1"/>
  <c r="C148" i="1"/>
  <c r="G148" i="1" s="1"/>
  <c r="B102" i="1"/>
  <c r="B100" i="1"/>
  <c r="O212" i="1" l="1"/>
  <c r="B228" i="1"/>
  <c r="B206" i="1"/>
  <c r="B183" i="1"/>
  <c r="B229" i="1" l="1"/>
  <c r="B207" i="1"/>
  <c r="B184" i="1"/>
  <c r="B230" i="1" l="1"/>
  <c r="B208" i="1"/>
  <c r="B185" i="1"/>
  <c r="B231" i="1" l="1"/>
  <c r="B209" i="1"/>
  <c r="B186" i="1"/>
  <c r="B232" i="1" l="1"/>
  <c r="B210" i="1"/>
  <c r="B187" i="1"/>
  <c r="B233" i="1" l="1"/>
  <c r="B211" i="1"/>
  <c r="B188" i="1"/>
  <c r="B234" i="1" l="1"/>
  <c r="B212" i="1"/>
  <c r="B189" i="1"/>
  <c r="B235" i="1" l="1"/>
  <c r="B213" i="1"/>
  <c r="B190" i="1"/>
  <c r="C145" i="1" l="1"/>
  <c r="C146" i="1"/>
  <c r="G146" i="1" s="1"/>
  <c r="C147" i="1"/>
  <c r="C149" i="1"/>
  <c r="C150" i="1"/>
  <c r="G150" i="1" s="1"/>
  <c r="C144" i="1"/>
  <c r="B124" i="1"/>
  <c r="B122" i="1"/>
  <c r="B113" i="1"/>
  <c r="B111" i="1"/>
  <c r="B91" i="1"/>
  <c r="B89" i="1"/>
  <c r="B80" i="1"/>
  <c r="B78" i="1"/>
  <c r="B69" i="1"/>
  <c r="B67" i="1"/>
  <c r="B52" i="1"/>
  <c r="B54" i="1"/>
  <c r="G147" i="1" l="1"/>
  <c r="G149" i="1"/>
  <c r="G145" i="1"/>
  <c r="D15" i="1"/>
  <c r="B26" i="1" s="1"/>
  <c r="G144" i="1"/>
  <c r="E44" i="1"/>
  <c r="B44" i="1"/>
  <c r="B121" i="1" l="1"/>
  <c r="D123" i="1" s="1"/>
  <c r="B99" i="1"/>
  <c r="F44" i="1"/>
  <c r="E45" i="1" s="1"/>
  <c r="B77" i="1"/>
  <c r="B66" i="1"/>
  <c r="B110" i="1"/>
  <c r="B51" i="1"/>
  <c r="B88" i="1"/>
  <c r="C44" i="1"/>
  <c r="B45" i="1" s="1"/>
  <c r="G123" i="1" l="1"/>
  <c r="G101" i="1"/>
  <c r="H101" i="1" s="1"/>
  <c r="I101" i="1" s="1"/>
  <c r="G102" i="1" s="1"/>
  <c r="H102" i="1" s="1"/>
  <c r="I102" i="1" s="1"/>
  <c r="G103" i="1" s="1"/>
  <c r="H103" i="1" s="1"/>
  <c r="I103" i="1" s="1"/>
  <c r="G104" i="1" s="1"/>
  <c r="H104" i="1" s="1"/>
  <c r="I104" i="1" s="1"/>
  <c r="G105" i="1" s="1"/>
  <c r="H105" i="1" s="1"/>
  <c r="I105" i="1" s="1"/>
  <c r="G106" i="1" s="1"/>
  <c r="H106" i="1" s="1"/>
  <c r="I106" i="1" s="1"/>
  <c r="D101" i="1"/>
  <c r="E101" i="1" s="1"/>
  <c r="F101" i="1" s="1"/>
  <c r="D102" i="1" s="1"/>
  <c r="E102" i="1" s="1"/>
  <c r="F102" i="1" s="1"/>
  <c r="D103" i="1" s="1"/>
  <c r="E103" i="1" s="1"/>
  <c r="F103" i="1" s="1"/>
  <c r="D104" i="1" s="1"/>
  <c r="H123" i="1"/>
  <c r="I123" i="1" s="1"/>
  <c r="G124" i="1" s="1"/>
  <c r="E123" i="1"/>
  <c r="F123" i="1" s="1"/>
  <c r="D124" i="1" s="1"/>
  <c r="G44" i="1"/>
  <c r="D53" i="1"/>
  <c r="E53" i="1" s="1"/>
  <c r="G53" i="1"/>
  <c r="H53" i="1" s="1"/>
  <c r="B29" i="1"/>
  <c r="D26" i="1"/>
  <c r="B35" i="1" s="1"/>
  <c r="D112" i="1"/>
  <c r="E112" i="1" s="1"/>
  <c r="F112" i="1" s="1"/>
  <c r="D113" i="1" s="1"/>
  <c r="E113" i="1" s="1"/>
  <c r="F113" i="1" s="1"/>
  <c r="D114" i="1" s="1"/>
  <c r="E114" i="1" s="1"/>
  <c r="F114" i="1" s="1"/>
  <c r="D115" i="1" s="1"/>
  <c r="G112" i="1"/>
  <c r="H112" i="1" s="1"/>
  <c r="I112" i="1" s="1"/>
  <c r="G113" i="1" s="1"/>
  <c r="H113" i="1" s="1"/>
  <c r="I113" i="1" s="1"/>
  <c r="G114" i="1" s="1"/>
  <c r="H114" i="1" s="1"/>
  <c r="I114" i="1" s="1"/>
  <c r="G115" i="1" s="1"/>
  <c r="C45" i="1"/>
  <c r="B46" i="1" s="1"/>
  <c r="D68" i="1"/>
  <c r="E68" i="1" s="1"/>
  <c r="F68" i="1" s="1"/>
  <c r="D69" i="1" s="1"/>
  <c r="E69" i="1" s="1"/>
  <c r="F69" i="1" s="1"/>
  <c r="D70" i="1" s="1"/>
  <c r="E70" i="1" s="1"/>
  <c r="F70" i="1" s="1"/>
  <c r="D71" i="1" s="1"/>
  <c r="G68" i="1"/>
  <c r="H68" i="1" s="1"/>
  <c r="I68" i="1" s="1"/>
  <c r="G69" i="1" s="1"/>
  <c r="H69" i="1" s="1"/>
  <c r="I69" i="1" s="1"/>
  <c r="G70" i="1" s="1"/>
  <c r="H70" i="1" s="1"/>
  <c r="I70" i="1" s="1"/>
  <c r="G71" i="1" s="1"/>
  <c r="F45" i="1"/>
  <c r="E46" i="1" s="1"/>
  <c r="D90" i="1"/>
  <c r="E90" i="1" s="1"/>
  <c r="F90" i="1" s="1"/>
  <c r="D91" i="1" s="1"/>
  <c r="E91" i="1" s="1"/>
  <c r="F91" i="1" s="1"/>
  <c r="D92" i="1" s="1"/>
  <c r="E92" i="1" s="1"/>
  <c r="F92" i="1" s="1"/>
  <c r="D93" i="1" s="1"/>
  <c r="G90" i="1"/>
  <c r="H90" i="1" s="1"/>
  <c r="I90" i="1" s="1"/>
  <c r="G91" i="1" s="1"/>
  <c r="H91" i="1" s="1"/>
  <c r="I91" i="1" s="1"/>
  <c r="G92" i="1" s="1"/>
  <c r="H92" i="1" s="1"/>
  <c r="I92" i="1" s="1"/>
  <c r="G93" i="1" s="1"/>
  <c r="D79" i="1"/>
  <c r="E79" i="1" s="1"/>
  <c r="F79" i="1" s="1"/>
  <c r="D80" i="1" s="1"/>
  <c r="E80" i="1" s="1"/>
  <c r="F80" i="1" s="1"/>
  <c r="D81" i="1" s="1"/>
  <c r="E81" i="1" s="1"/>
  <c r="F81" i="1" s="1"/>
  <c r="D82" i="1" s="1"/>
  <c r="G79" i="1"/>
  <c r="H79" i="1" s="1"/>
  <c r="I79" i="1" s="1"/>
  <c r="G80" i="1" s="1"/>
  <c r="H80" i="1" s="1"/>
  <c r="I80" i="1" s="1"/>
  <c r="G81" i="1" s="1"/>
  <c r="H81" i="1" s="1"/>
  <c r="I81" i="1" s="1"/>
  <c r="G82" i="1" s="1"/>
  <c r="D44" i="1"/>
  <c r="D134" i="1" s="1"/>
  <c r="H134" i="1" l="1"/>
  <c r="I134" i="1" s="1"/>
  <c r="E104" i="1"/>
  <c r="F104" i="1" s="1"/>
  <c r="D105" i="1" s="1"/>
  <c r="E105" i="1" s="1"/>
  <c r="F105" i="1" s="1"/>
  <c r="D106" i="1" s="1"/>
  <c r="K101" i="1"/>
  <c r="F53" i="1"/>
  <c r="D54" i="1" s="1"/>
  <c r="E54" i="1" s="1"/>
  <c r="F54" i="1" s="1"/>
  <c r="E124" i="1"/>
  <c r="F124" i="1" s="1"/>
  <c r="D125" i="1" s="1"/>
  <c r="H124" i="1"/>
  <c r="I124" i="1" s="1"/>
  <c r="G125" i="1" s="1"/>
  <c r="G45" i="1"/>
  <c r="D45" i="1"/>
  <c r="F46" i="1"/>
  <c r="G46" i="1" s="1"/>
  <c r="C46" i="1"/>
  <c r="D46" i="1" s="1"/>
  <c r="K112" i="1"/>
  <c r="E115" i="1"/>
  <c r="F115" i="1" s="1"/>
  <c r="D116" i="1" s="1"/>
  <c r="H115" i="1"/>
  <c r="I115" i="1" s="1"/>
  <c r="G116" i="1" s="1"/>
  <c r="K90" i="1"/>
  <c r="E93" i="1"/>
  <c r="F93" i="1" s="1"/>
  <c r="D94" i="1" s="1"/>
  <c r="H93" i="1"/>
  <c r="I93" i="1" s="1"/>
  <c r="G94" i="1" s="1"/>
  <c r="K79" i="1"/>
  <c r="E82" i="1"/>
  <c r="F82" i="1" s="1"/>
  <c r="D83" i="1" s="1"/>
  <c r="H82" i="1"/>
  <c r="I82" i="1" s="1"/>
  <c r="G83" i="1" s="1"/>
  <c r="K68" i="1"/>
  <c r="E71" i="1"/>
  <c r="F71" i="1" s="1"/>
  <c r="D72" i="1" s="1"/>
  <c r="H71" i="1"/>
  <c r="I71" i="1" s="1"/>
  <c r="G72" i="1" s="1"/>
  <c r="D148" i="1" l="1"/>
  <c r="D138" i="1"/>
  <c r="H148" i="1"/>
  <c r="B164" i="1" s="1"/>
  <c r="L101" i="1"/>
  <c r="J102" i="1"/>
  <c r="E138" i="1" s="1"/>
  <c r="K102" i="1"/>
  <c r="E106" i="1"/>
  <c r="F106" i="1" s="1"/>
  <c r="H125" i="1"/>
  <c r="I125" i="1" s="1"/>
  <c r="G126" i="1" s="1"/>
  <c r="E125" i="1"/>
  <c r="F125" i="1" s="1"/>
  <c r="D126" i="1" s="1"/>
  <c r="H116" i="1"/>
  <c r="I116" i="1" s="1"/>
  <c r="G117" i="1" s="1"/>
  <c r="E116" i="1"/>
  <c r="F116" i="1" s="1"/>
  <c r="D117" i="1" s="1"/>
  <c r="D139" i="1" s="1"/>
  <c r="J113" i="1"/>
  <c r="L112" i="1"/>
  <c r="H94" i="1"/>
  <c r="I94" i="1" s="1"/>
  <c r="G95" i="1" s="1"/>
  <c r="E94" i="1"/>
  <c r="F94" i="1" s="1"/>
  <c r="D95" i="1" s="1"/>
  <c r="D137" i="1" s="1"/>
  <c r="J91" i="1"/>
  <c r="L90" i="1"/>
  <c r="E83" i="1"/>
  <c r="F83" i="1" s="1"/>
  <c r="D84" i="1" s="1"/>
  <c r="D136" i="1" s="1"/>
  <c r="H83" i="1"/>
  <c r="I83" i="1" s="1"/>
  <c r="G84" i="1" s="1"/>
  <c r="J80" i="1"/>
  <c r="L79" i="1"/>
  <c r="E72" i="1"/>
  <c r="F72" i="1" s="1"/>
  <c r="D73" i="1" s="1"/>
  <c r="D135" i="1" s="1"/>
  <c r="H72" i="1"/>
  <c r="I72" i="1" s="1"/>
  <c r="G73" i="1" s="1"/>
  <c r="L68" i="1"/>
  <c r="J69" i="1"/>
  <c r="E146" i="1" l="1"/>
  <c r="E136" i="1"/>
  <c r="E147" i="1"/>
  <c r="E137" i="1"/>
  <c r="F137" i="1" s="1"/>
  <c r="E149" i="1"/>
  <c r="E139" i="1"/>
  <c r="F139" i="1" s="1"/>
  <c r="H137" i="1"/>
  <c r="I137" i="1" s="1"/>
  <c r="H135" i="1"/>
  <c r="I135" i="1" s="1"/>
  <c r="F138" i="1"/>
  <c r="H138" i="1"/>
  <c r="I138" i="1" s="1"/>
  <c r="H139" i="1"/>
  <c r="I139" i="1" s="1"/>
  <c r="F136" i="1"/>
  <c r="H136" i="1"/>
  <c r="I136" i="1" s="1"/>
  <c r="E145" i="1"/>
  <c r="E135" i="1"/>
  <c r="F135" i="1" s="1"/>
  <c r="B104" i="1"/>
  <c r="E148" i="1"/>
  <c r="F148" i="1" s="1"/>
  <c r="L102" i="1"/>
  <c r="K123" i="1"/>
  <c r="E126" i="1"/>
  <c r="F126" i="1" s="1"/>
  <c r="D127" i="1" s="1"/>
  <c r="H126" i="1"/>
  <c r="I126" i="1" s="1"/>
  <c r="G127" i="1" s="1"/>
  <c r="K113" i="1"/>
  <c r="L113" i="1" s="1"/>
  <c r="E117" i="1"/>
  <c r="F117" i="1" s="1"/>
  <c r="H117" i="1"/>
  <c r="I117" i="1" s="1"/>
  <c r="B115" i="1"/>
  <c r="K91" i="1"/>
  <c r="L91" i="1" s="1"/>
  <c r="E95" i="1"/>
  <c r="F95" i="1" s="1"/>
  <c r="H95" i="1"/>
  <c r="I95" i="1" s="1"/>
  <c r="B93" i="1"/>
  <c r="H84" i="1"/>
  <c r="I84" i="1" s="1"/>
  <c r="K80" i="1"/>
  <c r="L80" i="1" s="1"/>
  <c r="E84" i="1"/>
  <c r="F84" i="1" s="1"/>
  <c r="B82" i="1"/>
  <c r="H73" i="1"/>
  <c r="I73" i="1" s="1"/>
  <c r="K69" i="1"/>
  <c r="L69" i="1" s="1"/>
  <c r="E73" i="1"/>
  <c r="F73" i="1" s="1"/>
  <c r="B71" i="1"/>
  <c r="D147" i="1"/>
  <c r="C180" i="1" l="1"/>
  <c r="C203" i="1"/>
  <c r="C204" i="1"/>
  <c r="C205" i="1"/>
  <c r="C206" i="1"/>
  <c r="C207" i="1"/>
  <c r="C208" i="1"/>
  <c r="C209" i="1"/>
  <c r="C210" i="1"/>
  <c r="C211" i="1"/>
  <c r="C212" i="1"/>
  <c r="C213" i="1"/>
  <c r="H147" i="1"/>
  <c r="F147" i="1"/>
  <c r="H127" i="1"/>
  <c r="I127" i="1" s="1"/>
  <c r="G128" i="1" s="1"/>
  <c r="E127" i="1"/>
  <c r="F127" i="1" s="1"/>
  <c r="D128" i="1" s="1"/>
  <c r="J124" i="1"/>
  <c r="L123" i="1"/>
  <c r="D146" i="1"/>
  <c r="D149" i="1"/>
  <c r="D150" i="1" l="1"/>
  <c r="D140" i="1"/>
  <c r="E150" i="1"/>
  <c r="F150" i="1" s="1"/>
  <c r="E140" i="1"/>
  <c r="C182" i="1"/>
  <c r="C183" i="1"/>
  <c r="C184" i="1"/>
  <c r="C185" i="1"/>
  <c r="C186" i="1"/>
  <c r="C187" i="1"/>
  <c r="C188" i="1"/>
  <c r="C189" i="1"/>
  <c r="C190" i="1"/>
  <c r="B157" i="1"/>
  <c r="H150" i="1"/>
  <c r="F149" i="1"/>
  <c r="H149" i="1"/>
  <c r="B171" i="1" s="1"/>
  <c r="H146" i="1"/>
  <c r="F146" i="1"/>
  <c r="K124" i="1"/>
  <c r="L124" i="1" s="1"/>
  <c r="E128" i="1"/>
  <c r="F128" i="1" s="1"/>
  <c r="H128" i="1"/>
  <c r="I128" i="1" s="1"/>
  <c r="B126" i="1"/>
  <c r="F140" i="1" l="1"/>
  <c r="H140" i="1"/>
  <c r="I140" i="1" s="1"/>
  <c r="C225" i="1"/>
  <c r="C226" i="1"/>
  <c r="C227" i="1"/>
  <c r="C228" i="1"/>
  <c r="C229" i="1"/>
  <c r="C230" i="1"/>
  <c r="C231" i="1"/>
  <c r="C232" i="1"/>
  <c r="C233" i="1"/>
  <c r="C234" i="1"/>
  <c r="C235" i="1"/>
  <c r="B165" i="1"/>
  <c r="F164" i="1"/>
  <c r="E157" i="1"/>
  <c r="B158" i="1" s="1"/>
  <c r="D158" i="1" s="1"/>
  <c r="E158" i="1" s="1"/>
  <c r="B172" i="1"/>
  <c r="B166" i="1" l="1"/>
  <c r="B173" i="1"/>
  <c r="F171" i="1"/>
  <c r="F158" i="1"/>
  <c r="F157" i="1"/>
  <c r="B167" i="1" l="1"/>
  <c r="B174" i="1"/>
  <c r="B159" i="1"/>
  <c r="C159" i="1" s="1"/>
  <c r="D159" i="1" s="1"/>
  <c r="E159" i="1" s="1"/>
  <c r="I148" i="1" l="1"/>
  <c r="I149" i="1"/>
  <c r="F159" i="1"/>
  <c r="J148" i="1" l="1"/>
  <c r="D203" i="1"/>
  <c r="E203" i="1" s="1"/>
  <c r="F203" i="1" s="1"/>
  <c r="G203" i="1" s="1"/>
  <c r="D204" i="1"/>
  <c r="E204" i="1" s="1"/>
  <c r="F204" i="1" s="1"/>
  <c r="G204" i="1" s="1"/>
  <c r="D205" i="1"/>
  <c r="E205" i="1" s="1"/>
  <c r="F205" i="1" s="1"/>
  <c r="G205" i="1" s="1"/>
  <c r="D206" i="1"/>
  <c r="E206" i="1" s="1"/>
  <c r="F206" i="1" s="1"/>
  <c r="G206" i="1" s="1"/>
  <c r="D207" i="1"/>
  <c r="E207" i="1" s="1"/>
  <c r="F207" i="1" s="1"/>
  <c r="G207" i="1" s="1"/>
  <c r="D208" i="1"/>
  <c r="E208" i="1" s="1"/>
  <c r="F208" i="1" s="1"/>
  <c r="G208" i="1" s="1"/>
  <c r="D209" i="1"/>
  <c r="E209" i="1" s="1"/>
  <c r="F209" i="1" s="1"/>
  <c r="G209" i="1" s="1"/>
  <c r="D210" i="1"/>
  <c r="E210" i="1" s="1"/>
  <c r="F210" i="1" s="1"/>
  <c r="G210" i="1" s="1"/>
  <c r="D211" i="1"/>
  <c r="E211" i="1" s="1"/>
  <c r="F211" i="1" s="1"/>
  <c r="G211" i="1" s="1"/>
  <c r="D212" i="1"/>
  <c r="E212" i="1" s="1"/>
  <c r="F212" i="1" s="1"/>
  <c r="G212" i="1" s="1"/>
  <c r="D213" i="1"/>
  <c r="E213" i="1" s="1"/>
  <c r="F213" i="1" s="1"/>
  <c r="G213" i="1" s="1"/>
  <c r="J149" i="1"/>
  <c r="K149" i="1" s="1"/>
  <c r="D225" i="1"/>
  <c r="E225" i="1" s="1"/>
  <c r="F225" i="1" s="1"/>
  <c r="G225" i="1" s="1"/>
  <c r="D226" i="1"/>
  <c r="E226" i="1" s="1"/>
  <c r="F226" i="1" s="1"/>
  <c r="G226" i="1" s="1"/>
  <c r="D227" i="1"/>
  <c r="E227" i="1" s="1"/>
  <c r="F227" i="1" s="1"/>
  <c r="G227" i="1" s="1"/>
  <c r="D228" i="1"/>
  <c r="E228" i="1" s="1"/>
  <c r="F228" i="1" s="1"/>
  <c r="G228" i="1" s="1"/>
  <c r="D229" i="1"/>
  <c r="E229" i="1" s="1"/>
  <c r="F229" i="1" s="1"/>
  <c r="G229" i="1" s="1"/>
  <c r="D230" i="1"/>
  <c r="E230" i="1" s="1"/>
  <c r="F230" i="1" s="1"/>
  <c r="G230" i="1" s="1"/>
  <c r="D231" i="1"/>
  <c r="E231" i="1" s="1"/>
  <c r="F231" i="1" s="1"/>
  <c r="G231" i="1" s="1"/>
  <c r="D232" i="1"/>
  <c r="E232" i="1" s="1"/>
  <c r="F232" i="1" s="1"/>
  <c r="G232" i="1" s="1"/>
  <c r="D233" i="1"/>
  <c r="E233" i="1" s="1"/>
  <c r="F233" i="1" s="1"/>
  <c r="G233" i="1" s="1"/>
  <c r="D234" i="1"/>
  <c r="E234" i="1" s="1"/>
  <c r="F234" i="1" s="1"/>
  <c r="G234" i="1" s="1"/>
  <c r="D235" i="1"/>
  <c r="E235" i="1" s="1"/>
  <c r="F235" i="1" s="1"/>
  <c r="G235" i="1" s="1"/>
  <c r="B160" i="1"/>
  <c r="C160" i="1" s="1"/>
  <c r="D160" i="1" s="1"/>
  <c r="E160" i="1" s="1"/>
  <c r="I147" i="1" s="1"/>
  <c r="D55" i="1"/>
  <c r="E55" i="1" s="1"/>
  <c r="F55" i="1" s="1"/>
  <c r="G236" i="1" l="1"/>
  <c r="G237" i="1" s="1"/>
  <c r="G238" i="1" s="1"/>
  <c r="G239" i="1" s="1"/>
  <c r="G214" i="1"/>
  <c r="G215" i="1" s="1"/>
  <c r="G216" i="1" s="1"/>
  <c r="D184" i="1"/>
  <c r="E184" i="1" s="1"/>
  <c r="F184" i="1" s="1"/>
  <c r="D188" i="1"/>
  <c r="E188" i="1" s="1"/>
  <c r="F188" i="1" s="1"/>
  <c r="D185" i="1"/>
  <c r="E185" i="1" s="1"/>
  <c r="F185" i="1" s="1"/>
  <c r="D182" i="1"/>
  <c r="E182" i="1" s="1"/>
  <c r="F182" i="1" s="1"/>
  <c r="D190" i="1"/>
  <c r="E190" i="1" s="1"/>
  <c r="F190" i="1" s="1"/>
  <c r="D183" i="1"/>
  <c r="E183" i="1" s="1"/>
  <c r="F183" i="1" s="1"/>
  <c r="D187" i="1"/>
  <c r="E187" i="1" s="1"/>
  <c r="F187" i="1" s="1"/>
  <c r="D181" i="1"/>
  <c r="E181" i="1" s="1"/>
  <c r="F181" i="1" s="1"/>
  <c r="D189" i="1"/>
  <c r="E189" i="1" s="1"/>
  <c r="F189" i="1" s="1"/>
  <c r="D186" i="1"/>
  <c r="E186" i="1" s="1"/>
  <c r="F186" i="1" s="1"/>
  <c r="O202" i="1"/>
  <c r="O203" i="1" s="1"/>
  <c r="J147" i="1"/>
  <c r="F160" i="1"/>
  <c r="D145" i="1"/>
  <c r="G217" i="1" l="1"/>
  <c r="O179" i="1"/>
  <c r="O180" i="1" s="1"/>
  <c r="H145" i="1"/>
  <c r="F145" i="1"/>
  <c r="D56" i="1"/>
  <c r="E56" i="1" s="1"/>
  <c r="G192" i="1" l="1"/>
  <c r="G193" i="1" s="1"/>
  <c r="G194" i="1" s="1"/>
  <c r="F56" i="1"/>
  <c r="D57" i="1" s="1"/>
  <c r="E57" i="1" s="1"/>
  <c r="F57" i="1" l="1"/>
  <c r="D58" i="1" s="1"/>
  <c r="E58" i="1" s="1"/>
  <c r="F58" i="1" l="1"/>
  <c r="H144" i="1" l="1"/>
  <c r="I53" i="1" l="1"/>
  <c r="G54" i="1" s="1"/>
  <c r="H54" i="1" l="1"/>
  <c r="I54" i="1" s="1"/>
  <c r="G55" i="1" s="1"/>
  <c r="H55" i="1" l="1"/>
  <c r="I55" i="1" s="1"/>
  <c r="G56" i="1" s="1"/>
  <c r="K53" i="1" l="1"/>
  <c r="H56" i="1"/>
  <c r="I56" i="1" s="1"/>
  <c r="G57" i="1" s="1"/>
  <c r="J54" i="1" l="1"/>
  <c r="E134" i="1" s="1"/>
  <c r="F134" i="1" s="1"/>
  <c r="L53" i="1"/>
  <c r="H57" i="1"/>
  <c r="I57" i="1" s="1"/>
  <c r="G58" i="1" s="1"/>
  <c r="K54" i="1" l="1"/>
  <c r="L54" i="1" s="1"/>
  <c r="H58" i="1"/>
  <c r="I58" i="1" s="1"/>
  <c r="E144" i="1"/>
  <c r="F144" i="1" s="1"/>
  <c r="B56" i="1"/>
</calcChain>
</file>

<file path=xl/sharedStrings.xml><?xml version="1.0" encoding="utf-8"?>
<sst xmlns="http://schemas.openxmlformats.org/spreadsheetml/2006/main" count="359" uniqueCount="130">
  <si>
    <t>I 1° irrigação</t>
  </si>
  <si>
    <t>I 3° irrigação</t>
  </si>
  <si>
    <t>%</t>
  </si>
  <si>
    <t>m</t>
  </si>
  <si>
    <t>n</t>
  </si>
  <si>
    <t>IRN</t>
  </si>
  <si>
    <t>mm</t>
  </si>
  <si>
    <t>ETC</t>
  </si>
  <si>
    <t>mm/dia</t>
  </si>
  <si>
    <t>l/s</t>
  </si>
  <si>
    <t>Vmax não erosiva</t>
  </si>
  <si>
    <t>m/min</t>
  </si>
  <si>
    <t>p1</t>
  </si>
  <si>
    <t>p2</t>
  </si>
  <si>
    <t>Qmáx</t>
  </si>
  <si>
    <t>m³/min</t>
  </si>
  <si>
    <t>Comprimento adotado</t>
  </si>
  <si>
    <t>1° vazão a ser testada</t>
  </si>
  <si>
    <t>L/s/m</t>
  </si>
  <si>
    <t>to (i)</t>
  </si>
  <si>
    <t>to (i + 1)</t>
  </si>
  <si>
    <t>correção</t>
  </si>
  <si>
    <t>ta (i)</t>
  </si>
  <si>
    <t>r</t>
  </si>
  <si>
    <t>ta (i+1)</t>
  </si>
  <si>
    <t>r(i+1)</t>
  </si>
  <si>
    <t>taméd (i)</t>
  </si>
  <si>
    <t>r(i)</t>
  </si>
  <si>
    <t>k</t>
  </si>
  <si>
    <t>VIB</t>
  </si>
  <si>
    <t>taméd(i+1)</t>
  </si>
  <si>
    <t>Q0 (L/s)</t>
  </si>
  <si>
    <t>ta (min)</t>
  </si>
  <si>
    <t>p</t>
  </si>
  <si>
    <t>y0</t>
  </si>
  <si>
    <t>Ea (%)</t>
  </si>
  <si>
    <t>Pp (%)</t>
  </si>
  <si>
    <t>Pe (%)</t>
  </si>
  <si>
    <t>Parâmetro</t>
  </si>
  <si>
    <t>Valor</t>
  </si>
  <si>
    <t>Unidade</t>
  </si>
  <si>
    <t>k (1° irrigação)</t>
  </si>
  <si>
    <t>k (3° irrigação)</t>
  </si>
  <si>
    <t>a (1° irrigação)</t>
  </si>
  <si>
    <t>a (3° irrigação)</t>
  </si>
  <si>
    <t>Vib (1° irrigação)</t>
  </si>
  <si>
    <t>Vib (3° irrigação)</t>
  </si>
  <si>
    <t>Largura área</t>
  </si>
  <si>
    <t>Comprimento área</t>
  </si>
  <si>
    <t>Declividade (long)</t>
  </si>
  <si>
    <t>Qt disponível</t>
  </si>
  <si>
    <t>Comp. da faixa</t>
  </si>
  <si>
    <t>Dados de entrada</t>
  </si>
  <si>
    <t>Cálculos iniciais</t>
  </si>
  <si>
    <t>Determinação do Tempo de oportunidade (To)</t>
  </si>
  <si>
    <r>
      <t>1</t>
    </r>
    <r>
      <rPr>
        <b/>
        <sz val="11"/>
        <rFont val="Calibri"/>
        <family val="2"/>
        <scheme val="minor"/>
      </rPr>
      <t>1ª Irrigação</t>
    </r>
  </si>
  <si>
    <t>3ª Irrigação</t>
  </si>
  <si>
    <t>To admitido (min)</t>
  </si>
  <si>
    <t>IRN (m)</t>
  </si>
  <si>
    <t>Iterações</t>
  </si>
  <si>
    <t>Determinação do Tempo de avanço (Tx ou Ta) (TESTAR DIFERENTES VAZÕES)</t>
  </si>
  <si>
    <t>A0</t>
  </si>
  <si>
    <t>Q0 (m³/min)</t>
  </si>
  <si>
    <t>r (atribuído)</t>
  </si>
  <si>
    <r>
      <rPr>
        <b/>
        <sz val="11"/>
        <color theme="1"/>
        <rFont val="Aptos Narrow"/>
        <family val="2"/>
      </rPr>
      <t>σ</t>
    </r>
    <r>
      <rPr>
        <b/>
        <sz val="11"/>
        <color theme="1"/>
        <rFont val="Calibri"/>
        <family val="2"/>
        <scheme val="minor"/>
      </rPr>
      <t>z</t>
    </r>
  </si>
  <si>
    <t>Ta total (m)</t>
  </si>
  <si>
    <r>
      <rPr>
        <b/>
        <sz val="11"/>
        <color theme="1"/>
        <rFont val="Aptos Narrow"/>
        <family val="2"/>
      </rPr>
      <t>σ</t>
    </r>
    <r>
      <rPr>
        <b/>
        <sz val="11"/>
        <color theme="1"/>
        <rFont val="Calibri"/>
        <family val="2"/>
        <scheme val="minor"/>
      </rPr>
      <t>z (médio)</t>
    </r>
  </si>
  <si>
    <t>L (médio) (m)</t>
  </si>
  <si>
    <t>Ta médio (m)</t>
  </si>
  <si>
    <t>PARA Q0 = 5l/S</t>
  </si>
  <si>
    <t>Vazão(L/s)</t>
  </si>
  <si>
    <t>Vazão (m³/min)</t>
  </si>
  <si>
    <t>VIM</t>
  </si>
  <si>
    <t>ii.</t>
  </si>
  <si>
    <t xml:space="preserve">iii. </t>
  </si>
  <si>
    <t>Sy</t>
  </si>
  <si>
    <t>m/m</t>
  </si>
  <si>
    <t>iv.</t>
  </si>
  <si>
    <t>td(i+1)</t>
  </si>
  <si>
    <t>erro</t>
  </si>
  <si>
    <t>tr = ti = td(i)</t>
  </si>
  <si>
    <t>i.</t>
  </si>
  <si>
    <t>Valor convertido</t>
  </si>
  <si>
    <t>PARA Q0 = 8,62l/S</t>
  </si>
  <si>
    <t>PARA Q0 = 3,0l/S</t>
  </si>
  <si>
    <t>PARA Q0 = 1,5l/S</t>
  </si>
  <si>
    <t>PARA Q0 = 1,0l/S</t>
  </si>
  <si>
    <t>PARA Q0 = 1,8l/S</t>
  </si>
  <si>
    <t>PARA Q0 = 2,1l/S</t>
  </si>
  <si>
    <t>tr (min)</t>
  </si>
  <si>
    <t>td</t>
  </si>
  <si>
    <t>-</t>
  </si>
  <si>
    <t>ti</t>
  </si>
  <si>
    <t>x (m)</t>
  </si>
  <si>
    <t>to(min)</t>
  </si>
  <si>
    <t>I (m3/m)</t>
  </si>
  <si>
    <t>n =</t>
  </si>
  <si>
    <t>infiltração no início do sulco</t>
  </si>
  <si>
    <t>infiltração no final do sulco</t>
  </si>
  <si>
    <t>Soma</t>
  </si>
  <si>
    <t>Perfil de infiltração</t>
  </si>
  <si>
    <t>Volume Inf. (m³)</t>
  </si>
  <si>
    <t>Vazão 2,1L/s</t>
  </si>
  <si>
    <t>Vazão 1,8L/s</t>
  </si>
  <si>
    <t>Vazão 1,5L/s</t>
  </si>
  <si>
    <t>TIP</t>
  </si>
  <si>
    <t>min</t>
  </si>
  <si>
    <t>horas</t>
  </si>
  <si>
    <t>TDF</t>
  </si>
  <si>
    <t>Adotado</t>
  </si>
  <si>
    <t>NPD</t>
  </si>
  <si>
    <t>parcelas/dia</t>
  </si>
  <si>
    <t>APP</t>
  </si>
  <si>
    <t>m²</t>
  </si>
  <si>
    <t>há</t>
  </si>
  <si>
    <t>W0</t>
  </si>
  <si>
    <t>NTF</t>
  </si>
  <si>
    <t>NFP</t>
  </si>
  <si>
    <t>de 50m</t>
  </si>
  <si>
    <t>faixas</t>
  </si>
  <si>
    <t>QT</t>
  </si>
  <si>
    <t>L/s</t>
  </si>
  <si>
    <t>Menor que a disponível</t>
  </si>
  <si>
    <t>OK</t>
  </si>
  <si>
    <t>Vazões (L/s)</t>
  </si>
  <si>
    <t>Vazões (m³/min)</t>
  </si>
  <si>
    <t>ti (min)</t>
  </si>
  <si>
    <t>ENCONTRANDO AS MELHORES EFICIÊNCIAS</t>
  </si>
  <si>
    <t xml:space="preserve">Determinação do Tempo de depleção (Td) (utilizar vazão com melhor desempenho) </t>
  </si>
  <si>
    <t>Vazão maior que a disponível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</si>
</sst>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00"/>
    <numFmt numFmtId="167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33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Aptos Narrow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11" fillId="2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372955376"/>
        <c:axId val="1372962576"/>
      </c:scatterChart>
      <c:valAx>
        <c:axId val="137295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962576"/>
        <c:crosses val="autoZero"/>
        <c:crossBetween val="midCat"/>
      </c:valAx>
      <c:valAx>
        <c:axId val="137296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2955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v>Avanço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Planilha1!$C$203:$C$213</c:f>
              <c:numCache>
                <c:formatCode>0</c:formatCode>
                <c:ptCount val="11"/>
                <c:pt idx="0">
                  <c:v>0</c:v>
                </c:pt>
                <c:pt idx="1">
                  <c:v>6.108329586102383</c:v>
                </c:pt>
                <c:pt idx="2">
                  <c:v>18.305159808961168</c:v>
                </c:pt>
                <c:pt idx="3">
                  <c:v>34.785361599153617</c:v>
                </c:pt>
                <c:pt idx="4">
                  <c:v>54.856056947872624</c:v>
                </c:pt>
                <c:pt idx="5">
                  <c:v>78.103762521904059</c:v>
                </c:pt>
                <c:pt idx="6">
                  <c:v>104.24316404500169</c:v>
                </c:pt>
                <c:pt idx="7">
                  <c:v>133.06111819896643</c:v>
                </c:pt>
                <c:pt idx="8">
                  <c:v>164.39009630471054</c:v>
                </c:pt>
                <c:pt idx="9">
                  <c:v>198.09366284636963</c:v>
                </c:pt>
                <c:pt idx="10">
                  <c:v>234.05774598303458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89-4CAE-8F93-BDCBD6A731D5}"/>
            </c:ext>
          </c:extLst>
        </c:ser>
        <c:ser>
          <c:idx val="0"/>
          <c:order val="1"/>
          <c:tx>
            <c:v>Recessão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Planilha1!$D$203:$D$213</c:f>
              <c:numCache>
                <c:formatCode>0</c:formatCode>
                <c:ptCount val="11"/>
                <c:pt idx="0">
                  <c:v>361.0019133193789</c:v>
                </c:pt>
                <c:pt idx="1">
                  <c:v>367.81519363896444</c:v>
                </c:pt>
                <c:pt idx="2">
                  <c:v>374.62847395854993</c:v>
                </c:pt>
                <c:pt idx="3">
                  <c:v>381.44175427813548</c:v>
                </c:pt>
                <c:pt idx="4">
                  <c:v>388.25503459772096</c:v>
                </c:pt>
                <c:pt idx="5">
                  <c:v>395.06831491730651</c:v>
                </c:pt>
                <c:pt idx="6">
                  <c:v>401.88159523689205</c:v>
                </c:pt>
                <c:pt idx="7">
                  <c:v>408.69487555647754</c:v>
                </c:pt>
                <c:pt idx="8">
                  <c:v>415.50815587606309</c:v>
                </c:pt>
                <c:pt idx="9">
                  <c:v>422.32143619564857</c:v>
                </c:pt>
                <c:pt idx="10">
                  <c:v>429.13471651523412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89-4CAE-8F93-BDCBD6A73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410624"/>
        <c:axId val="1779417344"/>
      </c:lineChart>
      <c:catAx>
        <c:axId val="1779410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417344"/>
        <c:crosses val="autoZero"/>
        <c:auto val="1"/>
        <c:lblAlgn val="ctr"/>
        <c:lblOffset val="100"/>
        <c:noMultiLvlLbl val="0"/>
      </c:catAx>
      <c:valAx>
        <c:axId val="177941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941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chart" Target="../charts/chart2.xml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chart" Target="../charts/chart1.xml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1158240</xdr:colOff>
      <xdr:row>0</xdr:row>
      <xdr:rowOff>125730</xdr:rowOff>
    </xdr:from>
    <xdr:to>
      <xdr:col>2</xdr:col>
      <xdr:colOff>536682</xdr:colOff>
      <xdr:row>3</xdr:row>
      <xdr:rowOff>76136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CF9A68C-7358-40F9-858C-0A7FFAF6C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125730"/>
          <a:ext cx="1681904" cy="52190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59</xdr:row>
      <xdr:rowOff>95250</xdr:rowOff>
    </xdr:from>
    <xdr:to>
      <xdr:col>1</xdr:col>
      <xdr:colOff>257175</xdr:colOff>
      <xdr:row>62</xdr:row>
      <xdr:rowOff>19343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49E2ADA-BC86-FA4A-E778-8D0EAAAF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1334750"/>
          <a:ext cx="1600200" cy="495593"/>
        </a:xfrm>
        <a:prstGeom prst="rect">
          <a:avLst/>
        </a:prstGeom>
        <a:ln>
          <a:solidFill>
            <a:srgbClr val="FF33CC"/>
          </a:solidFill>
        </a:ln>
      </xdr:spPr>
    </xdr:pic>
    <xdr:clientData/>
  </xdr:twoCellAnchor>
  <xdr:twoCellAnchor editAs="oneCell">
    <xdr:from>
      <xdr:col>5</xdr:col>
      <xdr:colOff>552450</xdr:colOff>
      <xdr:row>59</xdr:row>
      <xdr:rowOff>106680</xdr:rowOff>
    </xdr:from>
    <xdr:to>
      <xdr:col>8</xdr:col>
      <xdr:colOff>613669</xdr:colOff>
      <xdr:row>63</xdr:row>
      <xdr:rowOff>55479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7E5FAC3-B9E7-996D-652C-1F94C34CF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29225" y="11346180"/>
          <a:ext cx="2859981" cy="710799"/>
        </a:xfrm>
        <a:prstGeom prst="rect">
          <a:avLst/>
        </a:prstGeom>
        <a:ln>
          <a:solidFill>
            <a:srgbClr val="FF33CC"/>
          </a:solidFill>
        </a:ln>
      </xdr:spPr>
    </xdr:pic>
    <xdr:clientData/>
  </xdr:twoCellAnchor>
  <xdr:twoCellAnchor editAs="oneCell">
    <xdr:from>
      <xdr:col>3</xdr:col>
      <xdr:colOff>222874</xdr:colOff>
      <xdr:row>31</xdr:row>
      <xdr:rowOff>50098</xdr:rowOff>
    </xdr:from>
    <xdr:to>
      <xdr:col>6</xdr:col>
      <xdr:colOff>320855</xdr:colOff>
      <xdr:row>35</xdr:row>
      <xdr:rowOff>54372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10EBF5-FA4D-E086-A3CA-FAEE2C182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421" y="5955598"/>
          <a:ext cx="4142967" cy="766274"/>
        </a:xfrm>
        <a:prstGeom prst="rect">
          <a:avLst/>
        </a:prstGeom>
        <a:noFill/>
        <a:ln w="38100">
          <a:solidFill>
            <a:srgbClr val="FF33CC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198836</xdr:colOff>
      <xdr:row>26</xdr:row>
      <xdr:rowOff>107270</xdr:rowOff>
    </xdr:from>
    <xdr:to>
      <xdr:col>4</xdr:col>
      <xdr:colOff>533508</xdr:colOff>
      <xdr:row>30</xdr:row>
      <xdr:rowOff>119062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DD4E2B1F-0E82-6950-280F-2003E1EA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1383" y="5060270"/>
          <a:ext cx="1461797" cy="773792"/>
        </a:xfrm>
        <a:prstGeom prst="rect">
          <a:avLst/>
        </a:prstGeom>
      </xdr:spPr>
    </xdr:pic>
    <xdr:clientData/>
  </xdr:twoCellAnchor>
  <xdr:twoCellAnchor editAs="oneCell">
    <xdr:from>
      <xdr:col>7</xdr:col>
      <xdr:colOff>82550</xdr:colOff>
      <xdr:row>40</xdr:row>
      <xdr:rowOff>22725</xdr:rowOff>
    </xdr:from>
    <xdr:to>
      <xdr:col>12</xdr:col>
      <xdr:colOff>565247</xdr:colOff>
      <xdr:row>43</xdr:row>
      <xdr:rowOff>91684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28E93BBA-D5D5-9489-AA7A-E5397B4BC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24700" y="7642725"/>
          <a:ext cx="4121246" cy="640459"/>
        </a:xfrm>
        <a:prstGeom prst="rect">
          <a:avLst/>
        </a:prstGeom>
      </xdr:spPr>
    </xdr:pic>
    <xdr:clientData/>
  </xdr:twoCellAnchor>
  <xdr:twoCellAnchor editAs="oneCell">
    <xdr:from>
      <xdr:col>3</xdr:col>
      <xdr:colOff>269729</xdr:colOff>
      <xdr:row>59</xdr:row>
      <xdr:rowOff>171450</xdr:rowOff>
    </xdr:from>
    <xdr:to>
      <xdr:col>4</xdr:col>
      <xdr:colOff>971736</xdr:colOff>
      <xdr:row>62</xdr:row>
      <xdr:rowOff>66675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8414F85-C169-F6B9-E2E9-17AE38DEB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5379" y="11410950"/>
          <a:ext cx="1829132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849629</xdr:colOff>
      <xdr:row>59</xdr:row>
      <xdr:rowOff>104775</xdr:rowOff>
    </xdr:from>
    <xdr:to>
      <xdr:col>13</xdr:col>
      <xdr:colOff>390526</xdr:colOff>
      <xdr:row>62</xdr:row>
      <xdr:rowOff>180975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05CB1F2C-3BBE-7D39-DD47-59062B01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050654" y="11344275"/>
          <a:ext cx="2979422" cy="647700"/>
        </a:xfrm>
        <a:prstGeom prst="rect">
          <a:avLst/>
        </a:prstGeom>
      </xdr:spPr>
    </xdr:pic>
    <xdr:clientData/>
  </xdr:twoCellAnchor>
  <xdr:twoCellAnchor editAs="oneCell">
    <xdr:from>
      <xdr:col>6</xdr:col>
      <xdr:colOff>106284</xdr:colOff>
      <xdr:row>154</xdr:row>
      <xdr:rowOff>138546</xdr:rowOff>
    </xdr:from>
    <xdr:to>
      <xdr:col>12</xdr:col>
      <xdr:colOff>261903</xdr:colOff>
      <xdr:row>169</xdr:row>
      <xdr:rowOff>171448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CD497F80-20A2-4C3D-9725-F0204C60B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65966" y="29475546"/>
          <a:ext cx="4727619" cy="2890402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323850</xdr:colOff>
      <xdr:row>59</xdr:row>
      <xdr:rowOff>85724</xdr:rowOff>
    </xdr:from>
    <xdr:to>
      <xdr:col>3</xdr:col>
      <xdr:colOff>226869</xdr:colOff>
      <xdr:row>63</xdr:row>
      <xdr:rowOff>95249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DD91E036-7DBE-4987-B471-15BAD3208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24025" y="11325224"/>
          <a:ext cx="1798494" cy="771525"/>
        </a:xfrm>
        <a:prstGeom prst="rect">
          <a:avLst/>
        </a:prstGeom>
      </xdr:spPr>
    </xdr:pic>
    <xdr:clientData/>
  </xdr:twoCellAnchor>
  <xdr:twoCellAnchor>
    <xdr:from>
      <xdr:col>7</xdr:col>
      <xdr:colOff>131764</xdr:colOff>
      <xdr:row>193</xdr:row>
      <xdr:rowOff>58449</xdr:rowOff>
    </xdr:from>
    <xdr:to>
      <xdr:col>9</xdr:col>
      <xdr:colOff>497271</xdr:colOff>
      <xdr:row>196</xdr:row>
      <xdr:rowOff>86591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32530D-11F9-4AFB-85DF-69F8CAA8D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7173" y="36824949"/>
          <a:ext cx="2175257" cy="59964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143595</xdr:colOff>
      <xdr:row>142</xdr:row>
      <xdr:rowOff>97002</xdr:rowOff>
    </xdr:from>
    <xdr:to>
      <xdr:col>14</xdr:col>
      <xdr:colOff>351892</xdr:colOff>
      <xdr:row>146</xdr:row>
      <xdr:rowOff>68653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342C77B-BDE4-6A15-2419-67F8090B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69140" y="27148002"/>
          <a:ext cx="2061342" cy="733651"/>
        </a:xfrm>
        <a:prstGeom prst="rect">
          <a:avLst/>
        </a:prstGeom>
      </xdr:spPr>
    </xdr:pic>
    <xdr:clientData/>
  </xdr:twoCellAnchor>
  <xdr:twoCellAnchor editAs="oneCell">
    <xdr:from>
      <xdr:col>11</xdr:col>
      <xdr:colOff>147924</xdr:colOff>
      <xdr:row>146</xdr:row>
      <xdr:rowOff>144043</xdr:rowOff>
    </xdr:from>
    <xdr:to>
      <xdr:col>14</xdr:col>
      <xdr:colOff>1361943</xdr:colOff>
      <xdr:row>151</xdr:row>
      <xdr:rowOff>77932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274726E-D447-0870-CFF2-8EBAD4821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73469" y="27957043"/>
          <a:ext cx="3067064" cy="886389"/>
        </a:xfrm>
        <a:prstGeom prst="rect">
          <a:avLst/>
        </a:prstGeom>
      </xdr:spPr>
    </xdr:pic>
    <xdr:clientData/>
  </xdr:twoCellAnchor>
  <xdr:twoCellAnchor editAs="oneCell">
    <xdr:from>
      <xdr:col>1</xdr:col>
      <xdr:colOff>246064</xdr:colOff>
      <xdr:row>150</xdr:row>
      <xdr:rowOff>67308</xdr:rowOff>
    </xdr:from>
    <xdr:to>
      <xdr:col>3</xdr:col>
      <xdr:colOff>942579</xdr:colOff>
      <xdr:row>152</xdr:row>
      <xdr:rowOff>101281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5BAAB431-42FF-3D35-65E6-BC10498C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43064" y="28642308"/>
          <a:ext cx="2593578" cy="414973"/>
        </a:xfrm>
        <a:prstGeom prst="rect">
          <a:avLst/>
        </a:prstGeom>
      </xdr:spPr>
    </xdr:pic>
    <xdr:clientData/>
  </xdr:twoCellAnchor>
  <xdr:twoCellAnchor editAs="oneCell">
    <xdr:from>
      <xdr:col>8</xdr:col>
      <xdr:colOff>840960</xdr:colOff>
      <xdr:row>178</xdr:row>
      <xdr:rowOff>93820</xdr:rowOff>
    </xdr:from>
    <xdr:to>
      <xdr:col>11</xdr:col>
      <xdr:colOff>268432</xdr:colOff>
      <xdr:row>180</xdr:row>
      <xdr:rowOff>164523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D83C284-94E4-4403-BE11-364649A87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76301" y="34002820"/>
          <a:ext cx="1609563" cy="451703"/>
        </a:xfrm>
        <a:prstGeom prst="rect">
          <a:avLst/>
        </a:prstGeom>
      </xdr:spPr>
    </xdr:pic>
    <xdr:clientData/>
  </xdr:twoCellAnchor>
  <xdr:twoCellAnchor editAs="oneCell">
    <xdr:from>
      <xdr:col>8</xdr:col>
      <xdr:colOff>919163</xdr:colOff>
      <xdr:row>188</xdr:row>
      <xdr:rowOff>66675</xdr:rowOff>
    </xdr:from>
    <xdr:to>
      <xdr:col>12</xdr:col>
      <xdr:colOff>145728</xdr:colOff>
      <xdr:row>190</xdr:row>
      <xdr:rowOff>67827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82814DD-52B7-4E75-A584-D6CA2F61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162618" y="35880675"/>
          <a:ext cx="2014792" cy="382152"/>
        </a:xfrm>
        <a:prstGeom prst="rect">
          <a:avLst/>
        </a:prstGeom>
      </xdr:spPr>
    </xdr:pic>
    <xdr:clientData/>
  </xdr:twoCellAnchor>
  <xdr:oneCellAnchor>
    <xdr:from>
      <xdr:col>2</xdr:col>
      <xdr:colOff>199158</xdr:colOff>
      <xdr:row>190</xdr:row>
      <xdr:rowOff>147205</xdr:rowOff>
    </xdr:from>
    <xdr:ext cx="2329296" cy="4489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2777125B-C764-43BF-9234-806EE75B5402}"/>
                </a:ext>
              </a:extLst>
            </xdr:cNvPr>
            <xdr:cNvSpPr txBox="1"/>
          </xdr:nvSpPr>
          <xdr:spPr>
            <a:xfrm>
              <a:off x="2511135" y="36342205"/>
              <a:ext cx="2329296" cy="44896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l"/>
              <a14:m>
                <m:oMath xmlns:m="http://schemas.openxmlformats.org/officeDocument/2006/math">
                  <m:r>
                    <a:rPr lang="pt-BR" sz="2000" i="1">
                      <a:latin typeface="Cambria Math" panose="02040503050406030204" pitchFamily="18" charset="0"/>
                    </a:rPr>
                    <m:t>𝑡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𝑟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=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𝑡𝑑</m:t>
                  </m:r>
                  <m:r>
                    <a:rPr lang="pt-BR" sz="20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pt-BR" sz="20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BR" sz="20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𝑡𝑟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 −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𝑡𝑑</m:t>
                      </m:r>
                      <m:r>
                        <a:rPr lang="pt-BR" sz="2000" b="0" i="1">
                          <a:latin typeface="Cambria Math" panose="02040503050406030204" pitchFamily="18" charset="0"/>
                        </a:rPr>
                        <m:t>)</m:t>
                      </m:r>
                    </m:num>
                    <m:den>
                      <m:r>
                        <a:rPr lang="pt-BR" sz="2000" b="0" i="1">
                          <a:latin typeface="Cambria Math" panose="02040503050406030204" pitchFamily="18" charset="0"/>
                        </a:rPr>
                        <m:t>𝑋</m:t>
                      </m:r>
                    </m:den>
                  </m:f>
                </m:oMath>
              </a14:m>
              <a:r>
                <a:rPr lang="pt-BR" sz="2000"/>
                <a:t> L</a:t>
              </a:r>
            </a:p>
          </xdr:txBody>
        </xdr:sp>
      </mc:Choice>
      <mc:Fallback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2777125B-C764-43BF-9234-806EE75B5402}"/>
                </a:ext>
              </a:extLst>
            </xdr:cNvPr>
            <xdr:cNvSpPr txBox="1"/>
          </xdr:nvSpPr>
          <xdr:spPr>
            <a:xfrm>
              <a:off x="2511135" y="36342205"/>
              <a:ext cx="2329296" cy="448969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algn="l"/>
              <a:r>
                <a:rPr lang="pt-BR" sz="2000" i="0">
                  <a:latin typeface="Cambria Math" panose="02040503050406030204" pitchFamily="18" charset="0"/>
                </a:rPr>
                <a:t>𝑡</a:t>
              </a:r>
              <a:r>
                <a:rPr lang="pt-BR" sz="2000" b="0" i="0">
                  <a:latin typeface="Cambria Math" panose="02040503050406030204" pitchFamily="18" charset="0"/>
                </a:rPr>
                <a:t>𝑟=𝑡𝑑+((𝑡𝑟 −𝑡𝑑))/𝑋</a:t>
              </a:r>
              <a:r>
                <a:rPr lang="pt-BR" sz="2000"/>
                <a:t> L</a:t>
              </a:r>
            </a:p>
          </xdr:txBody>
        </xdr:sp>
      </mc:Fallback>
    </mc:AlternateContent>
    <xdr:clientData/>
  </xdr:oneCellAnchor>
  <xdr:twoCellAnchor editAs="oneCell">
    <xdr:from>
      <xdr:col>7</xdr:col>
      <xdr:colOff>95250</xdr:colOff>
      <xdr:row>190</xdr:row>
      <xdr:rowOff>39554</xdr:rowOff>
    </xdr:from>
    <xdr:to>
      <xdr:col>9</xdr:col>
      <xdr:colOff>164523</xdr:colOff>
      <xdr:row>192</xdr:row>
      <xdr:rowOff>184138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F90E01DE-62E0-42F0-9A8E-1FAECC959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390659" y="36234554"/>
          <a:ext cx="1879023" cy="525584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197</xdr:row>
      <xdr:rowOff>13810</xdr:rowOff>
    </xdr:from>
    <xdr:to>
      <xdr:col>8</xdr:col>
      <xdr:colOff>952500</xdr:colOff>
      <xdr:row>198</xdr:row>
      <xdr:rowOff>47509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FB5F089-A2CB-F02A-9E4E-528370A3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419234" y="37542310"/>
          <a:ext cx="1668607" cy="224199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178</xdr:row>
      <xdr:rowOff>104775</xdr:rowOff>
    </xdr:from>
    <xdr:to>
      <xdr:col>19</xdr:col>
      <xdr:colOff>65313</xdr:colOff>
      <xdr:row>180</xdr:row>
      <xdr:rowOff>59084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6E7FDD09-5A12-CE00-4B2F-ABB05FE1D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6575" y="32108775"/>
          <a:ext cx="1865538" cy="335309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28576</xdr:colOff>
      <xdr:row>184</xdr:row>
      <xdr:rowOff>0</xdr:rowOff>
    </xdr:from>
    <xdr:to>
      <xdr:col>17</xdr:col>
      <xdr:colOff>361951</xdr:colOff>
      <xdr:row>185</xdr:row>
      <xdr:rowOff>188899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5AF537F2-B53E-3210-8FA6-18A561B5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6576" y="33147000"/>
          <a:ext cx="942974" cy="379399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186</xdr:row>
      <xdr:rowOff>183194</xdr:rowOff>
    </xdr:from>
    <xdr:to>
      <xdr:col>18</xdr:col>
      <xdr:colOff>76201</xdr:colOff>
      <xdr:row>188</xdr:row>
      <xdr:rowOff>180405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2510066A-F3B4-15E9-C65C-D4DF2D1F3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6575" y="33711194"/>
          <a:ext cx="1266825" cy="378211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28576</xdr:colOff>
      <xdr:row>189</xdr:row>
      <xdr:rowOff>101754</xdr:rowOff>
    </xdr:from>
    <xdr:to>
      <xdr:col>17</xdr:col>
      <xdr:colOff>533401</xdr:colOff>
      <xdr:row>191</xdr:row>
      <xdr:rowOff>120409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4E89925-4A94-2B64-C3C6-9A6B0EA4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6576" y="34201254"/>
          <a:ext cx="1114424" cy="39965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28575</xdr:colOff>
      <xdr:row>192</xdr:row>
      <xdr:rowOff>133350</xdr:rowOff>
    </xdr:from>
    <xdr:to>
      <xdr:col>19</xdr:col>
      <xdr:colOff>571500</xdr:colOff>
      <xdr:row>194</xdr:row>
      <xdr:rowOff>26765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890EE50C-FFE5-9B6B-EAB7-415048760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6575" y="34804350"/>
          <a:ext cx="2371725" cy="274415"/>
        </a:xfrm>
        <a:prstGeom prst="rect">
          <a:avLst/>
        </a:prstGeom>
      </xdr:spPr>
    </xdr:pic>
    <xdr:clientData/>
  </xdr:twoCellAnchor>
  <xdr:twoCellAnchor editAs="oneCell">
    <xdr:from>
      <xdr:col>16</xdr:col>
      <xdr:colOff>28574</xdr:colOff>
      <xdr:row>195</xdr:row>
      <xdr:rowOff>129887</xdr:rowOff>
    </xdr:from>
    <xdr:to>
      <xdr:col>19</xdr:col>
      <xdr:colOff>408124</xdr:colOff>
      <xdr:row>197</xdr:row>
      <xdr:rowOff>50719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480D66E-539D-8C7A-0FFF-7F4EDF798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5424438" y="37277387"/>
          <a:ext cx="2197959" cy="301832"/>
        </a:xfrm>
        <a:prstGeom prst="rect">
          <a:avLst/>
        </a:prstGeom>
      </xdr:spPr>
    </xdr:pic>
    <xdr:clientData/>
  </xdr:twoCellAnchor>
  <xdr:twoCellAnchor>
    <xdr:from>
      <xdr:col>14</xdr:col>
      <xdr:colOff>381000</xdr:colOff>
      <xdr:row>129</xdr:row>
      <xdr:rowOff>109537</xdr:rowOff>
    </xdr:from>
    <xdr:to>
      <xdr:col>20</xdr:col>
      <xdr:colOff>285750</xdr:colOff>
      <xdr:row>143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143C74-2C30-C52E-0905-91D074328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100013</xdr:colOff>
      <xdr:row>201</xdr:row>
      <xdr:rowOff>28575</xdr:rowOff>
    </xdr:from>
    <xdr:to>
      <xdr:col>23</xdr:col>
      <xdr:colOff>561975</xdr:colOff>
      <xdr:row>220</xdr:row>
      <xdr:rowOff>142875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A9B71CF-10B2-99D2-3248-54B2FCBFE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9</xdr:col>
      <xdr:colOff>150812</xdr:colOff>
      <xdr:row>133</xdr:row>
      <xdr:rowOff>47625</xdr:rowOff>
    </xdr:from>
    <xdr:to>
      <xdr:col>13</xdr:col>
      <xdr:colOff>407174</xdr:colOff>
      <xdr:row>138</xdr:row>
      <xdr:rowOff>15875</xdr:rowOff>
    </xdr:to>
    <xdr:pic>
      <xdr:nvPicPr>
        <xdr:cNvPr id="5" name="Imagem 10">
          <a:extLst>
            <a:ext uri="{FF2B5EF4-FFF2-40B4-BE49-F238E27FC236}">
              <a16:creationId xmlns:a16="http://schemas.microsoft.com/office/drawing/2014/main" id="{51077D95-9289-4561-8D6E-A80EF91CE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318625" y="25384125"/>
          <a:ext cx="2724924" cy="92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592E-E6AB-4683-985E-07DA2433E8ED}">
  <dimension ref="A2:Q239"/>
  <sheetViews>
    <sheetView tabSelected="1" topLeftCell="G199" zoomScale="110" zoomScaleNormal="110" zoomScaleSheetLayoutView="100" workbookViewId="0">
      <selection activeCell="O199" sqref="O199"/>
    </sheetView>
  </sheetViews>
  <sheetFormatPr defaultRowHeight="15" x14ac:dyDescent="0.25"/>
  <cols>
    <col min="1" max="1" width="21" style="1" customWidth="1"/>
    <col min="2" max="2" width="13.5703125" style="1" bestFit="1" customWidth="1"/>
    <col min="3" max="3" width="14.85546875" style="1" customWidth="1"/>
    <col min="4" max="4" width="16.85546875" bestFit="1" customWidth="1"/>
    <col min="5" max="5" width="28.5703125" customWidth="1"/>
    <col min="6" max="6" width="15.28515625" bestFit="1" customWidth="1"/>
    <col min="7" max="7" width="14.140625" bestFit="1" customWidth="1"/>
    <col min="8" max="8" width="12.5703125" bestFit="1" customWidth="1"/>
    <col min="9" max="9" width="14.5703125" bestFit="1" customWidth="1"/>
    <col min="13" max="13" width="9.5703125" bestFit="1" customWidth="1"/>
    <col min="15" max="15" width="27.28515625" bestFit="1" customWidth="1"/>
    <col min="16" max="16" width="11.85546875" bestFit="1" customWidth="1"/>
  </cols>
  <sheetData>
    <row r="2" spans="1:5" x14ac:dyDescent="0.25">
      <c r="A2" s="1" t="s">
        <v>0</v>
      </c>
    </row>
    <row r="3" spans="1:5" x14ac:dyDescent="0.25">
      <c r="A3" s="1" t="s">
        <v>1</v>
      </c>
    </row>
    <row r="5" spans="1:5" x14ac:dyDescent="0.25">
      <c r="A5" s="54" t="s">
        <v>52</v>
      </c>
      <c r="B5" s="54"/>
      <c r="C5" s="54"/>
      <c r="D5" s="54"/>
      <c r="E5" s="54"/>
    </row>
    <row r="6" spans="1:5" x14ac:dyDescent="0.25">
      <c r="A6" s="4" t="s">
        <v>38</v>
      </c>
      <c r="B6" s="4" t="s">
        <v>39</v>
      </c>
      <c r="C6" s="4" t="s">
        <v>40</v>
      </c>
      <c r="D6" s="4" t="s">
        <v>82</v>
      </c>
      <c r="E6" s="4" t="s">
        <v>40</v>
      </c>
    </row>
    <row r="7" spans="1:5" x14ac:dyDescent="0.25">
      <c r="A7" s="2" t="s">
        <v>41</v>
      </c>
      <c r="B7" s="2">
        <v>3.5000000000000001E-3</v>
      </c>
      <c r="C7" s="2"/>
      <c r="D7" s="2"/>
      <c r="E7" s="2"/>
    </row>
    <row r="8" spans="1:5" x14ac:dyDescent="0.25">
      <c r="A8" s="2" t="s">
        <v>42</v>
      </c>
      <c r="B8" s="2">
        <v>3.3999999999999998E-3</v>
      </c>
      <c r="C8" s="2"/>
      <c r="D8" s="2"/>
      <c r="E8" s="2"/>
    </row>
    <row r="9" spans="1:5" x14ac:dyDescent="0.25">
      <c r="A9" s="2" t="s">
        <v>43</v>
      </c>
      <c r="B9" s="2">
        <v>0.47</v>
      </c>
      <c r="C9" s="2"/>
      <c r="D9" s="2"/>
      <c r="E9" s="2"/>
    </row>
    <row r="10" spans="1:5" x14ac:dyDescent="0.25">
      <c r="A10" s="2" t="s">
        <v>44</v>
      </c>
      <c r="B10" s="2">
        <v>0.45</v>
      </c>
      <c r="C10" s="2"/>
      <c r="D10" s="2"/>
      <c r="E10" s="2"/>
    </row>
    <row r="11" spans="1:5" x14ac:dyDescent="0.25">
      <c r="A11" s="2" t="s">
        <v>45</v>
      </c>
      <c r="B11" s="2">
        <v>1.1E-4</v>
      </c>
      <c r="C11" s="2"/>
      <c r="D11" s="2"/>
      <c r="E11" s="2"/>
    </row>
    <row r="12" spans="1:5" x14ac:dyDescent="0.25">
      <c r="A12" s="2" t="s">
        <v>46</v>
      </c>
      <c r="B12" s="2">
        <v>1E-4</v>
      </c>
      <c r="C12" s="2"/>
      <c r="D12" s="2"/>
      <c r="E12" s="2"/>
    </row>
    <row r="13" spans="1:5" x14ac:dyDescent="0.25">
      <c r="A13" s="2" t="s">
        <v>47</v>
      </c>
      <c r="B13" s="2">
        <v>400</v>
      </c>
      <c r="C13" s="2" t="s">
        <v>3</v>
      </c>
      <c r="D13" s="2"/>
      <c r="E13" s="2"/>
    </row>
    <row r="14" spans="1:5" x14ac:dyDescent="0.25">
      <c r="A14" s="2" t="s">
        <v>48</v>
      </c>
      <c r="B14" s="2">
        <v>400</v>
      </c>
      <c r="C14" s="2" t="s">
        <v>3</v>
      </c>
      <c r="D14" s="2"/>
      <c r="E14" s="2"/>
    </row>
    <row r="15" spans="1:5" x14ac:dyDescent="0.25">
      <c r="A15" s="2" t="s">
        <v>49</v>
      </c>
      <c r="B15" s="2">
        <v>0.1</v>
      </c>
      <c r="C15" s="2" t="s">
        <v>2</v>
      </c>
      <c r="D15" s="2">
        <f>B15/100</f>
        <v>1E-3</v>
      </c>
      <c r="E15" s="2" t="s">
        <v>76</v>
      </c>
    </row>
    <row r="16" spans="1:5" x14ac:dyDescent="0.25">
      <c r="A16" s="2" t="s">
        <v>4</v>
      </c>
      <c r="B16" s="2">
        <v>0.04</v>
      </c>
      <c r="C16" s="2"/>
      <c r="D16" s="2"/>
      <c r="E16" s="2"/>
    </row>
    <row r="17" spans="1:7" x14ac:dyDescent="0.25">
      <c r="A17" s="2" t="s">
        <v>5</v>
      </c>
      <c r="B17" s="2">
        <v>56</v>
      </c>
      <c r="C17" s="2" t="s">
        <v>6</v>
      </c>
      <c r="D17" s="2">
        <v>5.6000000000000001E-2</v>
      </c>
      <c r="E17" s="2" t="s">
        <v>3</v>
      </c>
    </row>
    <row r="18" spans="1:7" x14ac:dyDescent="0.25">
      <c r="A18" s="2" t="s">
        <v>7</v>
      </c>
      <c r="B18" s="2">
        <v>8</v>
      </c>
      <c r="C18" s="2" t="s">
        <v>8</v>
      </c>
      <c r="D18" s="2"/>
      <c r="E18" s="2"/>
    </row>
    <row r="19" spans="1:7" x14ac:dyDescent="0.25">
      <c r="A19" s="2" t="s">
        <v>50</v>
      </c>
      <c r="B19" s="2">
        <v>400</v>
      </c>
      <c r="C19" s="2" t="s">
        <v>9</v>
      </c>
      <c r="D19" s="2"/>
      <c r="E19" s="2"/>
    </row>
    <row r="20" spans="1:7" x14ac:dyDescent="0.25">
      <c r="A20" s="2" t="s">
        <v>10</v>
      </c>
      <c r="B20" s="2">
        <v>8</v>
      </c>
      <c r="C20" s="2" t="s">
        <v>11</v>
      </c>
      <c r="D20" s="2"/>
      <c r="E20" s="2"/>
    </row>
    <row r="21" spans="1:7" x14ac:dyDescent="0.25">
      <c r="A21" s="2" t="s">
        <v>12</v>
      </c>
      <c r="B21" s="2">
        <v>1</v>
      </c>
      <c r="C21" s="2"/>
      <c r="D21" s="2"/>
      <c r="E21" s="2"/>
    </row>
    <row r="22" spans="1:7" x14ac:dyDescent="0.25">
      <c r="A22" s="2" t="s">
        <v>13</v>
      </c>
      <c r="B22" s="2">
        <v>3.3</v>
      </c>
      <c r="C22" s="2"/>
      <c r="D22" s="2"/>
      <c r="E22" s="2"/>
    </row>
    <row r="23" spans="1:7" x14ac:dyDescent="0.25">
      <c r="D23" s="1"/>
      <c r="E23" s="1"/>
    </row>
    <row r="24" spans="1:7" x14ac:dyDescent="0.25">
      <c r="A24" s="58" t="s">
        <v>53</v>
      </c>
      <c r="B24" s="58"/>
      <c r="C24" s="58"/>
      <c r="D24" s="58"/>
      <c r="E24" s="58"/>
      <c r="F24" s="58"/>
      <c r="G24" s="58"/>
    </row>
    <row r="26" spans="1:7" x14ac:dyDescent="0.25">
      <c r="A26" s="2" t="s">
        <v>14</v>
      </c>
      <c r="B26" s="7">
        <f>((B20^B22)*(B16^2/(3600*D15*B21)))^(1/(B22-2))</f>
        <v>0.51743673843327675</v>
      </c>
      <c r="C26" s="2" t="s">
        <v>15</v>
      </c>
      <c r="D26" s="5">
        <f>B26*1000/60</f>
        <v>8.6239456405546129</v>
      </c>
      <c r="E26" s="2" t="s">
        <v>18</v>
      </c>
    </row>
    <row r="27" spans="1:7" x14ac:dyDescent="0.25">
      <c r="B27" s="9"/>
    </row>
    <row r="28" spans="1:7" x14ac:dyDescent="0.25">
      <c r="B28" s="9"/>
    </row>
    <row r="29" spans="1:7" x14ac:dyDescent="0.25">
      <c r="A29" s="2" t="s">
        <v>51</v>
      </c>
      <c r="B29" s="7">
        <f>B26/B11</f>
        <v>4703.9703493934248</v>
      </c>
      <c r="C29" s="2" t="s">
        <v>3</v>
      </c>
    </row>
    <row r="30" spans="1:7" x14ac:dyDescent="0.25">
      <c r="B30" s="9"/>
    </row>
    <row r="31" spans="1:7" x14ac:dyDescent="0.25">
      <c r="B31" s="9"/>
    </row>
    <row r="32" spans="1:7" x14ac:dyDescent="0.25">
      <c r="A32" s="2" t="s">
        <v>16</v>
      </c>
      <c r="B32" s="6">
        <v>400</v>
      </c>
      <c r="C32" s="2" t="s">
        <v>3</v>
      </c>
    </row>
    <row r="33" spans="1:14" x14ac:dyDescent="0.25">
      <c r="B33" s="9"/>
    </row>
    <row r="34" spans="1:14" x14ac:dyDescent="0.25">
      <c r="B34" s="9"/>
    </row>
    <row r="35" spans="1:14" x14ac:dyDescent="0.25">
      <c r="A35" s="2" t="s">
        <v>17</v>
      </c>
      <c r="B35" s="7">
        <f>D26</f>
        <v>8.6239456405546129</v>
      </c>
      <c r="C35" s="2" t="s">
        <v>18</v>
      </c>
    </row>
    <row r="37" spans="1:14" x14ac:dyDescent="0.25">
      <c r="A37" s="58" t="s">
        <v>54</v>
      </c>
      <c r="B37" s="58"/>
      <c r="C37" s="58"/>
      <c r="D37" s="58"/>
      <c r="E37" s="58"/>
      <c r="F37" s="58"/>
      <c r="G37" s="58"/>
      <c r="H37" s="11"/>
    </row>
    <row r="38" spans="1:14" x14ac:dyDescent="0.25">
      <c r="A38" s="10"/>
      <c r="B38" s="10"/>
      <c r="C38" s="10"/>
      <c r="D38" s="10"/>
      <c r="E38" s="10"/>
    </row>
    <row r="39" spans="1:14" x14ac:dyDescent="0.25">
      <c r="A39" s="15"/>
      <c r="B39" s="55" t="s">
        <v>55</v>
      </c>
      <c r="C39" s="55"/>
      <c r="D39" s="55"/>
      <c r="E39" s="56" t="s">
        <v>56</v>
      </c>
      <c r="F39" s="56"/>
      <c r="G39" s="56"/>
    </row>
    <row r="40" spans="1:14" x14ac:dyDescent="0.25">
      <c r="A40" s="16" t="s">
        <v>57</v>
      </c>
      <c r="B40" s="57">
        <v>100</v>
      </c>
      <c r="C40" s="57"/>
      <c r="D40" s="57"/>
      <c r="E40" s="57">
        <v>100</v>
      </c>
      <c r="F40" s="57"/>
      <c r="G40" s="57"/>
    </row>
    <row r="41" spans="1:14" x14ac:dyDescent="0.25">
      <c r="A41" s="16" t="s">
        <v>58</v>
      </c>
      <c r="B41" s="57">
        <v>5.6000000000000001E-2</v>
      </c>
      <c r="C41" s="57"/>
      <c r="D41" s="57"/>
      <c r="E41" s="57">
        <v>5.6000000000000001E-2</v>
      </c>
      <c r="F41" s="57"/>
      <c r="G41" s="57"/>
    </row>
    <row r="42" spans="1:14" x14ac:dyDescent="0.25">
      <c r="A42" s="12"/>
      <c r="B42" s="12"/>
      <c r="C42" s="12"/>
      <c r="D42" s="12"/>
      <c r="E42" s="10"/>
    </row>
    <row r="43" spans="1:14" x14ac:dyDescent="0.25">
      <c r="A43" s="16" t="s">
        <v>59</v>
      </c>
      <c r="B43" s="17" t="s">
        <v>19</v>
      </c>
      <c r="C43" s="17" t="s">
        <v>20</v>
      </c>
      <c r="D43" s="17" t="s">
        <v>21</v>
      </c>
      <c r="E43" s="17" t="s">
        <v>19</v>
      </c>
      <c r="F43" s="17" t="s">
        <v>20</v>
      </c>
      <c r="G43" s="17" t="s">
        <v>21</v>
      </c>
    </row>
    <row r="44" spans="1:14" x14ac:dyDescent="0.25">
      <c r="A44" s="16">
        <v>1</v>
      </c>
      <c r="B44" s="5">
        <f>B40</f>
        <v>100</v>
      </c>
      <c r="C44" s="5">
        <f>B44-((($B$7*(B44^$B$9))+($B$11*B44)-$B$41)/($B$7*$B$9*(B44^($B$9-1))+$B$11))</f>
        <v>157.31461738790472</v>
      </c>
      <c r="D44" s="5">
        <f>ABS(B44-C44)</f>
        <v>57.314617387904718</v>
      </c>
      <c r="E44" s="5">
        <f>E40</f>
        <v>100</v>
      </c>
      <c r="F44" s="5">
        <f>E44-((($B$8*(E44^$B$10))+($B$12*E44)-$E$41)/($B$8*$B$10*(E44^($B$10-1))+$B$12))</f>
        <v>185.73398500159092</v>
      </c>
      <c r="G44" s="5">
        <f>ABS(E44-F44)</f>
        <v>85.733985001590924</v>
      </c>
    </row>
    <row r="45" spans="1:14" x14ac:dyDescent="0.25">
      <c r="A45" s="16">
        <v>2</v>
      </c>
      <c r="B45" s="5">
        <f>C44</f>
        <v>157.31461738790472</v>
      </c>
      <c r="C45" s="5">
        <f>B45-((($B$7*(B45^$B$9))+($B$11*B45)-$B$41)/($B$7*$B$9*(B45^($B$9-1))+$B$11))</f>
        <v>161.70334567945929</v>
      </c>
      <c r="D45" s="5">
        <f t="shared" ref="D45:D46" si="0">ABS(B45-C45)</f>
        <v>4.3887282915545711</v>
      </c>
      <c r="E45" s="5">
        <f>F44</f>
        <v>185.73398500159092</v>
      </c>
      <c r="F45" s="5">
        <f>E45-((($B$8*(E45^$B$10))+($B$12*E45)-$E$41)/($B$8*$B$10*(E45^($B$10-1))+$B$12))</f>
        <v>195.07697053219951</v>
      </c>
      <c r="G45" s="5">
        <f t="shared" ref="G45:G46" si="1">ABS(E45-F45)</f>
        <v>9.3429855306085869</v>
      </c>
    </row>
    <row r="46" spans="1:14" x14ac:dyDescent="0.25">
      <c r="A46" s="16">
        <v>3</v>
      </c>
      <c r="B46" s="8">
        <f>C45</f>
        <v>161.70334567945929</v>
      </c>
      <c r="C46" s="5">
        <f>B46-((($B$7*(B46^$B$9))+($B$11*B46)-$B$41)/($B$7*$B$9*(B46^($B$9-1))+$B$11))</f>
        <v>161.71965416960023</v>
      </c>
      <c r="D46" s="5">
        <f t="shared" si="0"/>
        <v>1.6308490140943377E-2</v>
      </c>
      <c r="E46" s="8">
        <f>F45</f>
        <v>195.07697053219951</v>
      </c>
      <c r="F46" s="5">
        <f>E46-((($B$8*(E46^$B$10))+($B$12*E46)-$E$41)/($B$8*$B$10*(E46^($B$10-1))+$B$12))</f>
        <v>195.13612033380468</v>
      </c>
      <c r="G46" s="5">
        <f t="shared" si="1"/>
        <v>5.9149801605173025E-2</v>
      </c>
    </row>
    <row r="47" spans="1:14" x14ac:dyDescent="0.25">
      <c r="B47" s="14"/>
      <c r="C47" s="5"/>
      <c r="D47" s="5"/>
    </row>
    <row r="48" spans="1:14" x14ac:dyDescent="0.25">
      <c r="A48" s="58" t="s">
        <v>60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</row>
    <row r="49" spans="1:14" x14ac:dyDescent="0.25">
      <c r="A49" s="10"/>
      <c r="B49" s="10"/>
      <c r="C49" s="10"/>
      <c r="D49" s="10"/>
      <c r="E49" s="10"/>
      <c r="F49" s="10"/>
      <c r="G49" s="10"/>
    </row>
    <row r="50" spans="1:14" x14ac:dyDescent="0.25">
      <c r="A50" s="60" t="s">
        <v>83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spans="1:14" x14ac:dyDescent="0.25">
      <c r="A51" s="24" t="s">
        <v>61</v>
      </c>
      <c r="B51" s="25">
        <f>((B52^2*$B$16^2)/($D$15*$B$21*3600))^(1/$B$22)</f>
        <v>6.4679839392240951E-2</v>
      </c>
      <c r="D51" s="59" t="s">
        <v>65</v>
      </c>
      <c r="E51" s="59"/>
      <c r="F51" s="59"/>
      <c r="G51" s="59" t="s">
        <v>68</v>
      </c>
      <c r="H51" s="59"/>
      <c r="I51" s="59"/>
      <c r="J51" s="59" t="s">
        <v>23</v>
      </c>
      <c r="K51" s="59"/>
      <c r="L51" s="59"/>
      <c r="M51" s="1"/>
      <c r="N51" s="1"/>
    </row>
    <row r="52" spans="1:14" x14ac:dyDescent="0.25">
      <c r="A52" s="3" t="s">
        <v>62</v>
      </c>
      <c r="B52" s="19">
        <f>B53*60/1000</f>
        <v>0.51744000000000001</v>
      </c>
      <c r="D52" s="2" t="s">
        <v>22</v>
      </c>
      <c r="E52" s="2" t="s">
        <v>21</v>
      </c>
      <c r="F52" s="2" t="s">
        <v>24</v>
      </c>
      <c r="G52" s="2" t="s">
        <v>26</v>
      </c>
      <c r="H52" s="2" t="s">
        <v>21</v>
      </c>
      <c r="I52" s="22" t="s">
        <v>30</v>
      </c>
      <c r="J52" s="2" t="s">
        <v>27</v>
      </c>
      <c r="K52" s="2" t="s">
        <v>25</v>
      </c>
      <c r="L52" s="2" t="s">
        <v>79</v>
      </c>
      <c r="M52" s="1"/>
      <c r="N52" s="1"/>
    </row>
    <row r="53" spans="1:14" x14ac:dyDescent="0.25">
      <c r="A53" s="3" t="s">
        <v>31</v>
      </c>
      <c r="B53" s="2">
        <v>8.6240000000000006</v>
      </c>
      <c r="D53" s="5">
        <f>(5*(B51*$B$32)/B52)</f>
        <v>249.99937922171054</v>
      </c>
      <c r="E53" s="5">
        <f>((B52*D53)-(0.77*B51*$B$32)-(B54*$B$8*(D53^$B$10)*$B$32)-(($B$12*D53*$B$32)/(1+B55)))/(B52-((B54*$B$10*$B$8*$B$32)/(D53^(1-$B$10)))-(($B$12*$B$32)/(1+B55)))</f>
        <v>194.74646989216566</v>
      </c>
      <c r="F53" s="5">
        <f t="shared" ref="F53:F58" si="2">D53-E53</f>
        <v>55.252909329544877</v>
      </c>
      <c r="G53" s="5">
        <f>(5*(B51*B57))/B52</f>
        <v>124.99968961085527</v>
      </c>
      <c r="H53" s="20">
        <f>((B52*G53)-(0.77*B51*B57)-(B54*B58*(G53^$B$10)*B57)-((B59*G53*B57)/(1+J53)))/(B52-((B54*$B$10*B58*B57)/(G53^(1-$B$10)))-((B59*B57)/(1+J53)))</f>
        <v>100.01151115655368</v>
      </c>
      <c r="I53" s="5">
        <f t="shared" ref="I53:I58" si="3">G53-H53</f>
        <v>24.98817845430159</v>
      </c>
      <c r="J53" s="21">
        <v>0.89</v>
      </c>
      <c r="K53" s="2">
        <f>(LN(2)/((LN(D56))-LN(G56)))</f>
        <v>0.88602919905889488</v>
      </c>
      <c r="L53" s="2">
        <f>J53-K53</f>
        <v>3.9708009411051348E-3</v>
      </c>
      <c r="M53" s="1"/>
      <c r="N53" s="1"/>
    </row>
    <row r="54" spans="1:14" x14ac:dyDescent="0.25">
      <c r="A54" s="3" t="s">
        <v>64</v>
      </c>
      <c r="B54" s="19">
        <f>($B$10+B55*(1-$B$10)+1)/((1+$B$10)*(1+B55))</f>
        <v>0.70771756978653533</v>
      </c>
      <c r="D54" s="5">
        <f>F53</f>
        <v>55.252909329544877</v>
      </c>
      <c r="E54" s="5">
        <f>((B52*D54)-(0.77*B51*$B$32)-(B54*$B$8*(D54^$B$10)*$B$32)-(($B$12*D54*$B$32)/(1+B55)))/(B52-((B54*$B$10*$B$8*$B$32)/(D54^(1-$B$10)))-(($B$12*$B$32)/(1+B55)))</f>
        <v>3.6674700588122024</v>
      </c>
      <c r="F54" s="5">
        <f t="shared" si="2"/>
        <v>51.585439270732678</v>
      </c>
      <c r="G54" s="5">
        <f>I53</f>
        <v>24.98817845430159</v>
      </c>
      <c r="H54" s="20">
        <f>((B52*G54)-(0.77*B51*B57)-(B54*B58*(G54^$B$10)*B57)-((B59*G54*B57)/(1+J53)))/(B52-((B54*$B$10*B58*B57)/(G54^(1-$B$10)))-((B59*B57)/(1+J53)))</f>
        <v>1.3972461955581987</v>
      </c>
      <c r="I54" s="5">
        <f t="shared" si="3"/>
        <v>23.59093225874339</v>
      </c>
      <c r="J54" s="23">
        <f>K53</f>
        <v>0.88602919905889488</v>
      </c>
      <c r="K54" s="19">
        <f>(LN(2)/((LN(D58))-LN(G58)))</f>
        <v>0.88602919963160398</v>
      </c>
      <c r="L54" s="19">
        <f>J54-K54</f>
        <v>-5.7270910236439931E-10</v>
      </c>
      <c r="M54" s="1"/>
      <c r="N54" s="1"/>
    </row>
    <row r="55" spans="1:14" x14ac:dyDescent="0.25">
      <c r="A55" s="3" t="s">
        <v>63</v>
      </c>
      <c r="B55" s="2">
        <v>0.89</v>
      </c>
      <c r="D55" s="5">
        <f>F54</f>
        <v>51.585439270732678</v>
      </c>
      <c r="E55" s="5">
        <f>((B52*D55)-(0.77*B51*$B$32)-(B54*$B$8*(D55^$B$10)*$B$32)-(($B$12*D55*$B$32)/(1+B55)))/(B52-((B54*$B$10*$B$8*$B$32)/(D55^(1-$B$10)))-(($B$12*$B$32)/(1+B55)))</f>
        <v>7.4000229302751191E-3</v>
      </c>
      <c r="F55" s="5">
        <f t="shared" si="2"/>
        <v>51.578039247802401</v>
      </c>
      <c r="G55" s="5">
        <f>I54</f>
        <v>23.59093225874339</v>
      </c>
      <c r="H55" s="20">
        <f>((B52*G55)-(0.77*B51*B57)-(B54*B58*(G55^$B$10)*B57)-((B59*G55*B57)/(1+J53)))/(B52-((B54*$B$10*B58*B57)/(G55^(1-$B$10)))-((B59*B57)/(1+J53)))</f>
        <v>1.7410667051208867E-3</v>
      </c>
      <c r="I55" s="5">
        <f t="shared" si="3"/>
        <v>23.589191192038268</v>
      </c>
      <c r="J55" s="1"/>
      <c r="K55" s="1"/>
      <c r="L55" s="1"/>
    </row>
    <row r="56" spans="1:14" x14ac:dyDescent="0.25">
      <c r="A56" s="3" t="s">
        <v>66</v>
      </c>
      <c r="B56" s="2">
        <f>($B$10+J54*(1-$B$10)+1)/((1+$B$10)*(1+J54))</f>
        <v>0.7084089905336709</v>
      </c>
      <c r="D56" s="5">
        <f>F55</f>
        <v>51.578039247802401</v>
      </c>
      <c r="E56" s="5">
        <f>((B52*D56)-(0.77*B51*$B$32)-(B54*$B$8*(D56^$B$10)*$B$32)-(($B$12*D56*$B$32)/(1+B55)))/(B52-((B54*$B$10*$B$8*$B$32)/(D56^(1-$B$10)))-(($B$12*$B$32)/(1+B55)))</f>
        <v>3.235579966804633E-8</v>
      </c>
      <c r="F56" s="5">
        <f t="shared" si="2"/>
        <v>51.578039215446601</v>
      </c>
      <c r="G56" s="5">
        <f>I55</f>
        <v>23.589191192038268</v>
      </c>
      <c r="H56" s="20">
        <f>((B52*G56)-(0.77*B51*B57)-(B54*B58*(G56^$B$10)*B57)-((B59*G56*B57)/(1+J53)))/(B52-((B54*$B$10*B58*B57)/(G56^(1-$B$10)))-((B59*B57)/(1+J53)))</f>
        <v>2.869657211673668E-9</v>
      </c>
      <c r="I56" s="5">
        <f t="shared" si="3"/>
        <v>23.589191189168609</v>
      </c>
      <c r="J56" s="1"/>
      <c r="K56" s="1"/>
      <c r="L56" s="1"/>
    </row>
    <row r="57" spans="1:14" x14ac:dyDescent="0.25">
      <c r="A57" s="3" t="s">
        <v>67</v>
      </c>
      <c r="B57" s="2">
        <v>200</v>
      </c>
      <c r="D57" s="5">
        <f>F56</f>
        <v>51.578039215446601</v>
      </c>
      <c r="E57" s="5">
        <f>((B52*D57)-(0.77*B51*$B$32)-(B54*$B$8*(D57^$B$10)*$B$32)-(($B$12*D57*$B$32)/(1+B55)))/(B52-((B54*$B$10*$B$8*$B$32)/(D57^(1-$B$10)))-(($B$12*$B$32)/(1+B55)))</f>
        <v>-1.4910367504993342E-15</v>
      </c>
      <c r="F57" s="5">
        <f t="shared" si="2"/>
        <v>51.578039215446601</v>
      </c>
      <c r="G57" s="5">
        <f>I56</f>
        <v>23.589191189168609</v>
      </c>
      <c r="H57" s="20">
        <f>((B52*G57)-(0.77*B51*B57)-(B54*B58*(G57^$B$10)*B57)-((B59*G57*B57)/(1+J53)))/(B52-((B54*$B$10*B58*B57)/(G57^(1-$B$10)))-((B59*B57)/(1+J53)))</f>
        <v>-1.9538364964413191E-15</v>
      </c>
      <c r="I57" s="5">
        <f t="shared" si="3"/>
        <v>23.589191189168613</v>
      </c>
    </row>
    <row r="58" spans="1:14" x14ac:dyDescent="0.25">
      <c r="A58" s="3" t="s">
        <v>28</v>
      </c>
      <c r="B58" s="2">
        <v>3.3999999999999998E-3</v>
      </c>
      <c r="D58" s="7">
        <f>F57</f>
        <v>51.578039215446601</v>
      </c>
      <c r="E58" s="5">
        <f>((B52*D58)-(0.77*B51*$B$32)-(B54*$B$8*(D58^$B$10)*$B$32)-(($B$12*D58*$B$32)/(1+B55)))/(B52-((B54*$B$10*$B$8*$B$32)/(D58^(1-$B$10)))-(($B$12*$B$32)/(1+B55)))</f>
        <v>-1.4910367504993342E-15</v>
      </c>
      <c r="F58" s="5">
        <f t="shared" si="2"/>
        <v>51.578039215446601</v>
      </c>
      <c r="G58" s="7">
        <f>I57</f>
        <v>23.589191189168613</v>
      </c>
      <c r="H58" s="20">
        <f>((B52*G58)-(0.77*B51*B57)-(B54*B58*(G58^$B$10)*B57)-((B59*G58*B57)/(1+J53)))/(B52-((B54*$B$10*B58*B57)/(G58^(1-$B$10)))-((B59*B57)/(1+J53)))</f>
        <v>1.7762149967648357E-15</v>
      </c>
      <c r="I58" s="5">
        <f t="shared" si="3"/>
        <v>23.589191189168609</v>
      </c>
    </row>
    <row r="59" spans="1:14" x14ac:dyDescent="0.25">
      <c r="A59" s="3" t="s">
        <v>29</v>
      </c>
      <c r="B59" s="2">
        <v>1E-4</v>
      </c>
    </row>
    <row r="60" spans="1:14" x14ac:dyDescent="0.25">
      <c r="A60" s="18"/>
    </row>
    <row r="61" spans="1:14" x14ac:dyDescent="0.25">
      <c r="A61"/>
      <c r="B61"/>
      <c r="C61"/>
    </row>
    <row r="62" spans="1:14" x14ac:dyDescent="0.25">
      <c r="A62"/>
      <c r="B62"/>
      <c r="C62"/>
    </row>
    <row r="63" spans="1:14" x14ac:dyDescent="0.25">
      <c r="A63"/>
      <c r="B63"/>
      <c r="C63"/>
    </row>
    <row r="64" spans="1:14" x14ac:dyDescent="0.25">
      <c r="A64"/>
      <c r="B64"/>
      <c r="C64"/>
    </row>
    <row r="65" spans="1:14" x14ac:dyDescent="0.25">
      <c r="A65" s="60" t="s">
        <v>69</v>
      </c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</row>
    <row r="66" spans="1:14" x14ac:dyDescent="0.25">
      <c r="A66" s="24" t="s">
        <v>61</v>
      </c>
      <c r="B66" s="25">
        <f>((B67^2*$B$16^2)/($D$15*$B$21*3600))^(1/$B$22)</f>
        <v>4.6482652892079965E-2</v>
      </c>
      <c r="D66" s="59" t="s">
        <v>65</v>
      </c>
      <c r="E66" s="59"/>
      <c r="F66" s="59"/>
      <c r="G66" s="59" t="s">
        <v>68</v>
      </c>
      <c r="H66" s="59"/>
      <c r="I66" s="59"/>
      <c r="J66" s="59" t="s">
        <v>23</v>
      </c>
      <c r="K66" s="59"/>
      <c r="L66" s="59"/>
      <c r="M66" s="1"/>
      <c r="N66" s="1"/>
    </row>
    <row r="67" spans="1:14" x14ac:dyDescent="0.25">
      <c r="A67" s="3" t="s">
        <v>62</v>
      </c>
      <c r="B67" s="19">
        <f>B68*60/1000</f>
        <v>0.3</v>
      </c>
      <c r="D67" s="2" t="s">
        <v>22</v>
      </c>
      <c r="E67" s="2" t="s">
        <v>21</v>
      </c>
      <c r="F67" s="2" t="s">
        <v>24</v>
      </c>
      <c r="G67" s="2" t="s">
        <v>26</v>
      </c>
      <c r="H67" s="2" t="s">
        <v>21</v>
      </c>
      <c r="I67" s="22" t="s">
        <v>30</v>
      </c>
      <c r="J67" s="2" t="s">
        <v>27</v>
      </c>
      <c r="K67" s="2" t="s">
        <v>25</v>
      </c>
      <c r="L67" s="2"/>
      <c r="M67" s="1"/>
      <c r="N67" s="1"/>
    </row>
    <row r="68" spans="1:14" x14ac:dyDescent="0.25">
      <c r="A68" s="3" t="s">
        <v>31</v>
      </c>
      <c r="B68" s="2">
        <v>5</v>
      </c>
      <c r="D68" s="5">
        <f>(5*(B66*$B$32)/B67)</f>
        <v>309.8843526138665</v>
      </c>
      <c r="E68" s="5">
        <f>((B67*D68)-(0.77*B66*$B$32)-(B69*$B$8*(D68^$B$10)*$B$32)-(($B$12*D68*$B$32)/(1+B70)))/(B67-((B69*$B$10*$B$8*$B$32)/(D68^(1-$B$10)))-(($B$12*$B$32)/(1+B70)))</f>
        <v>227.91490668606792</v>
      </c>
      <c r="F68" s="5">
        <f t="shared" ref="F68:F73" si="4">D68-E68</f>
        <v>81.969445927798574</v>
      </c>
      <c r="G68" s="5">
        <f>(5*(B66*B72))/B67</f>
        <v>154.94217630693325</v>
      </c>
      <c r="H68" s="20">
        <f>((B67*G68)-(0.77*B66*B72)-(B69*B73*(G68^$B$10)*B72)-((B74*G68*B72)/(1+J68)))/(B67-((B69*$B$10*B73*B72)/(G68^(1-$B$10)))-((B74*B72)/(1+J68)))</f>
        <v>119.68195965866076</v>
      </c>
      <c r="I68" s="5">
        <f t="shared" ref="I68:I73" si="5">G68-H68</f>
        <v>35.26021664827249</v>
      </c>
      <c r="J68" s="21">
        <v>0.88</v>
      </c>
      <c r="K68" s="2">
        <f>(LN(2)/((LN(D71))-LN(G71)))</f>
        <v>0.82848881281742759</v>
      </c>
      <c r="L68" s="2">
        <f>J68-K68</f>
        <v>5.1511187182572415E-2</v>
      </c>
      <c r="M68" s="1"/>
      <c r="N68" s="1"/>
    </row>
    <row r="69" spans="1:14" x14ac:dyDescent="0.25">
      <c r="A69" s="3" t="s">
        <v>64</v>
      </c>
      <c r="B69" s="19">
        <f>($B$10+B70*(1-$B$10)+1)/((1+$B$10)*(1+B70))</f>
        <v>0.70946441672780636</v>
      </c>
      <c r="D69" s="5">
        <f>F68</f>
        <v>81.969445927798574</v>
      </c>
      <c r="E69" s="5">
        <f>((B67*D69)-(0.77*B66*$B$32)-(B69*$B$8*(D69^$B$10)*$B$32)-(($B$12*D69*$B$32)/(1+B70)))/(B67-((B69*$B$10*$B$8*$B$32)/(D69^(1-$B$10)))-(($B$12*$B$32)/(1+B70)))</f>
        <v>6.3344400031667023</v>
      </c>
      <c r="F69" s="5">
        <f t="shared" si="4"/>
        <v>75.635005924631869</v>
      </c>
      <c r="G69" s="5">
        <f>I68</f>
        <v>35.26021664827249</v>
      </c>
      <c r="H69" s="20">
        <f>((B67*G69)-(0.77*B66*B72)-(B69*B73*(G69^$B$10)*B72)-((B74*G69*B72)/(1+J68)))/(B67-((B69*$B$10*B73*B72)/(G69^(1-$B$10)))-((B74*B72)/(1+J68)))</f>
        <v>2.5016832666297901</v>
      </c>
      <c r="I69" s="5">
        <f t="shared" si="5"/>
        <v>32.7585333816427</v>
      </c>
      <c r="J69" s="23">
        <f>K68</f>
        <v>0.82848881281742759</v>
      </c>
      <c r="K69" s="19">
        <f>(LN(2)/((LN(D73))-LN(G73)))</f>
        <v>0.82848881579003164</v>
      </c>
      <c r="L69" s="19">
        <f>J69-K69</f>
        <v>-2.9726040517985552E-9</v>
      </c>
      <c r="M69" s="1"/>
      <c r="N69" s="1"/>
    </row>
    <row r="70" spans="1:14" x14ac:dyDescent="0.25">
      <c r="A70" s="3" t="s">
        <v>63</v>
      </c>
      <c r="B70" s="2">
        <v>0.88</v>
      </c>
      <c r="D70" s="5">
        <f>F69</f>
        <v>75.635005924631869</v>
      </c>
      <c r="E70" s="5">
        <f>((B67*D70)-(0.77*B66*$B$32)-(B69*$B$8*(D70^$B$10)*$B$32)-(($B$12*D70*$B$32)/(1+B70)))/(B67-((B69*$B$10*$B$8*$B$32)/(D70^(1-$B$10)))-(($B$12*$B$32)/(1+B70)))</f>
        <v>2.2627554644268317E-2</v>
      </c>
      <c r="F70" s="5">
        <f t="shared" si="4"/>
        <v>75.612378369987596</v>
      </c>
      <c r="G70" s="5">
        <f>I69</f>
        <v>32.7585333816427</v>
      </c>
      <c r="H70" s="20">
        <f>((B67*G70)-(0.77*B66*B72)-(B69*B73*(G70^$B$10)*B72)-((B74*G70*B72)/(1+J68)))/(B67-((B69*$B$10*B73*B72)/(G70^(1-$B$10)))-((B74*B72)/(1+J68)))</f>
        <v>6.0220021883674053E-3</v>
      </c>
      <c r="I70" s="5">
        <f t="shared" si="5"/>
        <v>32.752511379454333</v>
      </c>
      <c r="J70" s="1"/>
      <c r="K70" s="1"/>
      <c r="L70" s="1"/>
    </row>
    <row r="71" spans="1:14" x14ac:dyDescent="0.25">
      <c r="A71" s="3" t="s">
        <v>66</v>
      </c>
      <c r="B71" s="2">
        <f>($B$10+J69*(1-$B$10)+1)/((1+$B$10)*(1+J69))</f>
        <v>0.71876533674302701</v>
      </c>
      <c r="D71" s="5">
        <f>F70</f>
        <v>75.612378369987596</v>
      </c>
      <c r="E71" s="5">
        <f>((B67*D71)-(0.77*B66*$B$32)-(B69*$B$8*(D71^$B$10)*$B$32)-(($B$12*D71*$B$32)/(1+B70)))/(B67-((B69*$B$10*$B$8*$B$32)/(D71^(1-$B$10)))-(($B$12*$B$32)/(1+B70)))</f>
        <v>3.1393841198364896E-7</v>
      </c>
      <c r="F71" s="5">
        <f t="shared" si="4"/>
        <v>75.612378056049181</v>
      </c>
      <c r="G71" s="5">
        <f>I70</f>
        <v>32.752511379454333</v>
      </c>
      <c r="H71" s="20">
        <f>((B67*G71)-(0.77*B66*B72)-(B69*B73*(G71^$B$10)*B72)-((B74*G71*B72)/(1+J68)))/(B67-((B69*$B$10*B73*B72)/(G71^(1-$B$10)))-((B74*B72)/(1+J68)))</f>
        <v>3.7668429373927001E-8</v>
      </c>
      <c r="I71" s="5">
        <f t="shared" si="5"/>
        <v>32.752511341785905</v>
      </c>
      <c r="J71" s="1"/>
      <c r="K71" s="1"/>
      <c r="L71" s="1"/>
    </row>
    <row r="72" spans="1:14" x14ac:dyDescent="0.25">
      <c r="A72" s="3" t="s">
        <v>67</v>
      </c>
      <c r="B72" s="2">
        <v>200</v>
      </c>
      <c r="D72" s="5">
        <f>F71</f>
        <v>75.612378056049181</v>
      </c>
      <c r="E72" s="5">
        <f>((B67*D72)-(0.77*B66*$B$32)-(B69*$B$8*(D72^$B$10)*$B$32)-(($B$12*D72*$B$32)/(1+B70)))/(B67-((B69*$B$10*$B$8*$B$32)/(D72^(1-$B$10)))-(($B$12*$B$32)/(1+B70)))</f>
        <v>9.3099636219960532E-16</v>
      </c>
      <c r="F72" s="5">
        <f t="shared" si="4"/>
        <v>75.612378056049181</v>
      </c>
      <c r="G72" s="5">
        <f>I71</f>
        <v>32.752511341785905</v>
      </c>
      <c r="H72" s="20">
        <f>((B67*G72)-(0.77*B66*B72)-(B69*B73*(G72^$B$10)*B72)-((B74*G72*B72)/(1+J68)))/(B67-((B69*$B$10*B73*B72)/(G72^(1-$B$10)))-((B74*B72)/(1+J68)))</f>
        <v>1.724617572541572E-15</v>
      </c>
      <c r="I72" s="5">
        <f t="shared" si="5"/>
        <v>32.752511341785905</v>
      </c>
    </row>
    <row r="73" spans="1:14" x14ac:dyDescent="0.25">
      <c r="A73" s="3" t="s">
        <v>28</v>
      </c>
      <c r="B73" s="2">
        <v>3.3999999999999998E-3</v>
      </c>
      <c r="D73" s="7">
        <f>F72</f>
        <v>75.612378056049181</v>
      </c>
      <c r="E73" s="5">
        <f>((B67*D73)-(0.77*B66*$B$32)-(B69*$B$8*(D73^$B$10)*$B$32)-(($B$12*D73*$B$32)/(1+B70)))/(B67-((B69*$B$10*$B$8*$B$32)/(D73^(1-$B$10)))-(($B$12*$B$32)/(1+B70)))</f>
        <v>9.3099636219960532E-16</v>
      </c>
      <c r="F73" s="5">
        <f t="shared" si="4"/>
        <v>75.612378056049181</v>
      </c>
      <c r="G73" s="7">
        <f>I72</f>
        <v>32.752511341785905</v>
      </c>
      <c r="H73" s="20">
        <f>((B67*G73)-(0.77*B66*B72)-(B69*B73*(G73^$B$10)*B72)-((B74*G73*B72)/(1+J68)))/(B67-((B69*$B$10*B73*B72)/(G73^(1-$B$10)))-((B74*B72)/(1+J68)))</f>
        <v>1.724617572541572E-15</v>
      </c>
      <c r="I73" s="5">
        <f t="shared" si="5"/>
        <v>32.752511341785905</v>
      </c>
    </row>
    <row r="74" spans="1:14" x14ac:dyDescent="0.25">
      <c r="A74" s="3" t="s">
        <v>29</v>
      </c>
      <c r="B74" s="2">
        <v>1E-4</v>
      </c>
    </row>
    <row r="76" spans="1:14" x14ac:dyDescent="0.25">
      <c r="A76" s="60" t="s">
        <v>84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</row>
    <row r="77" spans="1:14" x14ac:dyDescent="0.25">
      <c r="A77" s="24" t="s">
        <v>61</v>
      </c>
      <c r="B77" s="25">
        <f>((B78^2*$B$16^2)/($D$15*$B$21*3600))^(1/$B$22)</f>
        <v>3.4106497196957943E-2</v>
      </c>
      <c r="D77" s="59" t="s">
        <v>65</v>
      </c>
      <c r="E77" s="59"/>
      <c r="F77" s="59"/>
      <c r="G77" s="59" t="s">
        <v>68</v>
      </c>
      <c r="H77" s="59"/>
      <c r="I77" s="59"/>
      <c r="J77" s="59" t="s">
        <v>23</v>
      </c>
      <c r="K77" s="59"/>
      <c r="L77" s="59"/>
      <c r="M77" s="1"/>
      <c r="N77" s="1"/>
    </row>
    <row r="78" spans="1:14" x14ac:dyDescent="0.25">
      <c r="A78" s="3" t="s">
        <v>62</v>
      </c>
      <c r="B78" s="19">
        <f>B79*60/1000</f>
        <v>0.18</v>
      </c>
      <c r="D78" s="2" t="s">
        <v>22</v>
      </c>
      <c r="E78" s="2" t="s">
        <v>21</v>
      </c>
      <c r="F78" s="2" t="s">
        <v>24</v>
      </c>
      <c r="G78" s="2" t="s">
        <v>26</v>
      </c>
      <c r="H78" s="2" t="s">
        <v>21</v>
      </c>
      <c r="I78" s="22" t="s">
        <v>30</v>
      </c>
      <c r="J78" s="2" t="s">
        <v>27</v>
      </c>
      <c r="K78" s="2" t="s">
        <v>25</v>
      </c>
      <c r="L78" s="2"/>
      <c r="M78" s="1"/>
      <c r="N78" s="1"/>
    </row>
    <row r="79" spans="1:14" x14ac:dyDescent="0.25">
      <c r="A79" s="3" t="s">
        <v>31</v>
      </c>
      <c r="B79" s="2">
        <v>3</v>
      </c>
      <c r="D79" s="5">
        <f>(5*(B77*$B$32)/B78)</f>
        <v>378.96107996619941</v>
      </c>
      <c r="E79" s="5">
        <f>((B78*D79)-(0.77*B77*$B$32)-(B80*$B$8*(D79^$B$10)*$B$32)-(($B$12*D79*$B$32)/(1+B81)))/(B78-((B80*$B$10*$B$8*$B$32)/(D79^(1-$B$10)))-(($B$12*$B$32)/(1+B81)))</f>
        <v>242.55436760944963</v>
      </c>
      <c r="F79" s="5">
        <f t="shared" ref="F79:F84" si="6">D79-E79</f>
        <v>136.40671235674978</v>
      </c>
      <c r="G79" s="5">
        <f>(5*(B77*B83))/B78</f>
        <v>189.4805399830997</v>
      </c>
      <c r="H79" s="20">
        <f>((B78*G79)-(0.77*B77*B83)-(B80*B84*(G79^$B$10)*B83)-((B85*G79*B83)/(1+J79)))/(B78-((B80*$B$10*B84*B83)/(G79^(1-$B$10)))-((B85*B83)/(1+J79)))</f>
        <v>135.97796743203111</v>
      </c>
      <c r="I79" s="5">
        <f t="shared" ref="I79:I84" si="7">G79-H79</f>
        <v>53.502572551068596</v>
      </c>
      <c r="J79" s="21">
        <v>0.62</v>
      </c>
      <c r="K79" s="2">
        <f>(LN(2)/((LN(D82))-LN(G82)))</f>
        <v>0.732937128789937</v>
      </c>
      <c r="L79" s="2">
        <f>J79-K79</f>
        <v>-0.112937128789937</v>
      </c>
      <c r="M79" s="1"/>
      <c r="N79" s="1"/>
    </row>
    <row r="80" spans="1:14" x14ac:dyDescent="0.25">
      <c r="A80" s="3" t="s">
        <v>64</v>
      </c>
      <c r="B80" s="19">
        <f>($B$10+B81*(1-$B$10)+1)/((1+$B$10)*(1+B81))</f>
        <v>0.76245210727969337</v>
      </c>
      <c r="D80" s="5">
        <f>F79</f>
        <v>136.40671235674978</v>
      </c>
      <c r="E80" s="5">
        <f>((B78*D80)-(0.77*B77*$B$32)-(B80*$B$8*(D80^$B$10)*$B$32)-(($B$12*D80*$B$32)/(1+B81)))/(B78-((B80*$B$10*$B$8*$B$32)/(D80^(1-$B$10)))-(($B$12*$B$32)/(1+B81)))</f>
        <v>9.7422976807969572</v>
      </c>
      <c r="F80" s="5">
        <f t="shared" si="6"/>
        <v>126.66441467595283</v>
      </c>
      <c r="G80" s="5">
        <f>I79</f>
        <v>53.502572551068596</v>
      </c>
      <c r="H80" s="20">
        <f>((B78*G80)-(0.77*B77*B83)-(B80*B84*(G80^$B$10)*B83)-((B85*G80*B83)/(1+J79)))/(B78-((B80*$B$10*B84*B83)/(G80^(1-$B$10)))-((B85*B83)/(1+J79)))</f>
        <v>4.3068275910021336</v>
      </c>
      <c r="I80" s="5">
        <f t="shared" si="7"/>
        <v>49.195744960066463</v>
      </c>
      <c r="J80" s="23">
        <f>K79</f>
        <v>0.732937128789937</v>
      </c>
      <c r="K80" s="19">
        <f>(LN(2)/((LN(D84))-LN(G84)))</f>
        <v>0.73293713189366794</v>
      </c>
      <c r="L80" s="19">
        <f>J80-K80</f>
        <v>-3.103730938924798E-9</v>
      </c>
      <c r="M80" s="1"/>
      <c r="N80" s="1"/>
    </row>
    <row r="81" spans="1:14" x14ac:dyDescent="0.25">
      <c r="A81" s="3" t="s">
        <v>63</v>
      </c>
      <c r="B81" s="2">
        <v>0.62</v>
      </c>
      <c r="D81" s="5">
        <f>F80</f>
        <v>126.66441467595283</v>
      </c>
      <c r="E81" s="5">
        <f>((B78*D81)-(0.77*B77*$B$32)-(B80*$B$8*(D81^$B$10)*$B$32)-(($B$12*D81*$B$32)/(1+B81)))/(B78-((B80*$B$10*$B$8*$B$32)/(D81^(1-$B$10)))-(($B$12*$B$32)/(1+B81)))</f>
        <v>5.0586840090372467E-2</v>
      </c>
      <c r="F81" s="5">
        <f t="shared" si="6"/>
        <v>126.61382783586245</v>
      </c>
      <c r="G81" s="5">
        <f>I80</f>
        <v>49.195744960066463</v>
      </c>
      <c r="H81" s="20">
        <f>((B78*G81)-(0.77*B77*B83)-(B80*B84*(G81^$B$10)*B83)-((B85*G81*B83)/(1+J79)))/(B78-((B80*$B$10*B84*B83)/(G81^(1-$B$10)))-((B85*B83)/(1+J79)))</f>
        <v>1.8546038595482095E-2</v>
      </c>
      <c r="I81" s="5">
        <f t="shared" si="7"/>
        <v>49.177198921470982</v>
      </c>
      <c r="J81" s="1"/>
      <c r="K81" s="1"/>
      <c r="L81" s="1"/>
    </row>
    <row r="82" spans="1:14" x14ac:dyDescent="0.25">
      <c r="A82" s="3" t="s">
        <v>66</v>
      </c>
      <c r="B82" s="2">
        <f>($B$10+J80*(1-$B$10)+1)/((1+$B$10)*(1+J80))</f>
        <v>0.73748240130941856</v>
      </c>
      <c r="D82" s="5">
        <f>F81</f>
        <v>126.61382783586245</v>
      </c>
      <c r="E82" s="5">
        <f>((B78*D82)-(0.77*B77*$B$32)-(B80*$B$8*(D82^$B$10)*$B$32)-(($B$12*D82*$B$32)/(1+B81)))/(B78-((B80*$B$10*$B$8*$B$32)/(D82^(1-$B$10)))-(($B$12*$B$32)/(1+B81)))</f>
        <v>1.4733553261565578E-6</v>
      </c>
      <c r="F82" s="5">
        <f t="shared" si="6"/>
        <v>126.61382636250713</v>
      </c>
      <c r="G82" s="5">
        <f>I81</f>
        <v>49.177198921470982</v>
      </c>
      <c r="H82" s="20">
        <f>((B78*G82)-(0.77*B77*B83)-(B80*B84*(G82^$B$10)*B83)-((B85*G82*B83)/(1+J79)))/(B78-((B80*$B$10*B84*B83)/(G82^(1-$B$10)))-((B85*B83)/(1+J79)))</f>
        <v>3.7531306656165648E-7</v>
      </c>
      <c r="I82" s="5">
        <f t="shared" si="7"/>
        <v>49.177198546157918</v>
      </c>
      <c r="J82" s="1"/>
      <c r="K82" s="1"/>
      <c r="L82" s="1"/>
    </row>
    <row r="83" spans="1:14" x14ac:dyDescent="0.25">
      <c r="A83" s="3" t="s">
        <v>67</v>
      </c>
      <c r="B83" s="2">
        <v>200</v>
      </c>
      <c r="D83" s="5">
        <f>F82</f>
        <v>126.61382636250713</v>
      </c>
      <c r="E83" s="5">
        <f>((B78*D83)-(0.77*B77*$B$32)-(B80*$B$8*(D83^$B$10)*$B$32)-(($B$12*D83*$B$32)/(1+B81)))/(B78-((B80*$B$10*$B$8*$B$32)/(D83^(1-$B$10)))-(($B$12*$B$32)/(1+B81)))</f>
        <v>2.8941494946309316E-14</v>
      </c>
      <c r="F83" s="5">
        <f t="shared" si="6"/>
        <v>126.6138263625071</v>
      </c>
      <c r="G83" s="5">
        <f>I82</f>
        <v>49.177198546157918</v>
      </c>
      <c r="H83" s="20">
        <f>((B78*G83)-(0.77*B77*B83)-(B80*B84*(G83^$B$10)*B83)-((B85*G83*B83)/(1+J79)))/(B78-((B80*$B$10*B84*B83)/(G83^(1-$B$10)))-((B85*B83)/(1+J79)))</f>
        <v>2.3744293783258892E-15</v>
      </c>
      <c r="I83" s="5">
        <f t="shared" si="7"/>
        <v>49.177198546157918</v>
      </c>
    </row>
    <row r="84" spans="1:14" x14ac:dyDescent="0.25">
      <c r="A84" s="3" t="s">
        <v>28</v>
      </c>
      <c r="B84" s="2">
        <v>3.3999999999999998E-3</v>
      </c>
      <c r="D84" s="7">
        <f>F83</f>
        <v>126.6138263625071</v>
      </c>
      <c r="E84" s="5">
        <f>((B78*D84)-(0.77*B77*$B$32)-(B80*$B$8*(D84^$B$10)*$B$32)-(($B$12*D84*$B$32)/(1+B81)))/(B78-((B80*$B$10*$B$8*$B$32)/(D84^(1-$B$10)))-(($B$12*$B$32)/(1+B81)))</f>
        <v>3.6176868682886645E-15</v>
      </c>
      <c r="F84" s="5">
        <f t="shared" si="6"/>
        <v>126.6138263625071</v>
      </c>
      <c r="G84" s="7">
        <f>I83</f>
        <v>49.177198546157918</v>
      </c>
      <c r="H84" s="20">
        <f>((B78*G84)-(0.77*B77*B83)-(B80*B84*(G84^$B$10)*B83)-((B85*G84*B83)/(1+J79)))/(B78-((B80*$B$10*B84*B83)/(G84^(1-$B$10)))-((B85*B83)/(1+J79)))</f>
        <v>2.3744293783258892E-15</v>
      </c>
      <c r="I84" s="5">
        <f t="shared" si="7"/>
        <v>49.177198546157918</v>
      </c>
    </row>
    <row r="85" spans="1:14" x14ac:dyDescent="0.25">
      <c r="A85" s="3" t="s">
        <v>29</v>
      </c>
      <c r="B85" s="2">
        <v>1E-4</v>
      </c>
    </row>
    <row r="87" spans="1:14" x14ac:dyDescent="0.25">
      <c r="A87" s="60" t="s">
        <v>88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</row>
    <row r="88" spans="1:14" x14ac:dyDescent="0.25">
      <c r="A88" s="24" t="s">
        <v>61</v>
      </c>
      <c r="B88" s="25">
        <f>((B89^2*$B$16^2)/($D$15*$B$21*3600))^(1/$B$22)</f>
        <v>2.7476229995238948E-2</v>
      </c>
      <c r="D88" s="59" t="s">
        <v>65</v>
      </c>
      <c r="E88" s="59"/>
      <c r="F88" s="59"/>
      <c r="G88" s="59" t="s">
        <v>68</v>
      </c>
      <c r="H88" s="59"/>
      <c r="I88" s="59"/>
      <c r="J88" s="59" t="s">
        <v>23</v>
      </c>
      <c r="K88" s="59"/>
      <c r="L88" s="59"/>
      <c r="M88" s="1"/>
      <c r="N88" s="1"/>
    </row>
    <row r="89" spans="1:14" x14ac:dyDescent="0.25">
      <c r="A89" s="3" t="s">
        <v>62</v>
      </c>
      <c r="B89" s="19">
        <f>B90*60/1000</f>
        <v>0.126</v>
      </c>
      <c r="D89" s="2" t="s">
        <v>22</v>
      </c>
      <c r="E89" s="2" t="s">
        <v>21</v>
      </c>
      <c r="F89" s="2" t="s">
        <v>24</v>
      </c>
      <c r="G89" s="2" t="s">
        <v>26</v>
      </c>
      <c r="H89" s="2" t="s">
        <v>21</v>
      </c>
      <c r="I89" s="22" t="s">
        <v>30</v>
      </c>
      <c r="J89" s="2" t="s">
        <v>27</v>
      </c>
      <c r="K89" s="2" t="s">
        <v>25</v>
      </c>
      <c r="L89" s="2"/>
      <c r="M89" s="1"/>
      <c r="N89" s="1"/>
    </row>
    <row r="90" spans="1:14" x14ac:dyDescent="0.25">
      <c r="A90" s="3" t="s">
        <v>31</v>
      </c>
      <c r="B90" s="2">
        <v>2.1</v>
      </c>
      <c r="D90" s="5">
        <f>(5*(B88*$B$32)/B89)</f>
        <v>436.13063484506267</v>
      </c>
      <c r="E90" s="5">
        <f>((B89*D90)-(0.77*B88*$B$32)-(B91*$B$8*(D90^$B$10)*$B$32)-(($B$12*D90*$B$32)/(1+B92)))/(B89-((B91*$B$10*$B$8*$B$32)/(D90^(1-$B$10)))-(($B$12*$B$32)/(1+B92)))</f>
        <v>234.25286626472118</v>
      </c>
      <c r="F90" s="5">
        <f t="shared" ref="F90:F95" si="8">D90-E90</f>
        <v>201.8777685803415</v>
      </c>
      <c r="G90" s="5">
        <f>(5*(B88*B94))/B89</f>
        <v>218.06531742253134</v>
      </c>
      <c r="H90" s="20">
        <f>((B89*G90)-(0.77*B88*B94)-(B91*B95*(G90^$B$10)*B94)-((B96*G90*B94)/(1+J90)))/(B89-((B91*$B$10*B95*B94)/(G90^(1-$B$10)))-((B96*B94)/(1+J90)))</f>
        <v>145.08152271432178</v>
      </c>
      <c r="I90" s="5">
        <f t="shared" ref="I90:I95" si="9">G90-H90</f>
        <v>72.983794708209558</v>
      </c>
      <c r="J90" s="21">
        <v>0.63900000000000001</v>
      </c>
      <c r="K90" s="2">
        <f>(LN(2)/((LN(D93))-LN(G93)))</f>
        <v>0.66372599665765397</v>
      </c>
      <c r="L90" s="2">
        <f>J90-K90</f>
        <v>-2.4725996657653959E-2</v>
      </c>
      <c r="M90" s="1"/>
      <c r="N90" s="1"/>
    </row>
    <row r="91" spans="1:14" x14ac:dyDescent="0.25">
      <c r="A91" s="3" t="s">
        <v>64</v>
      </c>
      <c r="B91" s="19">
        <f>($B$10+B92*(1-$B$10)+1)/((1+$B$10)*(1+B92))</f>
        <v>0.75801056152826574</v>
      </c>
      <c r="D91" s="5">
        <f>F90</f>
        <v>201.8777685803415</v>
      </c>
      <c r="E91" s="5">
        <f>((B89*D91)-(0.77*B88*$B$32)-(B91*$B$8*(D91^$B$10)*$B$32)-(($B$12*D91*$B$32)/(1+B92)))/(B89-((B91*$B$10*$B$8*$B$32)/(D91^(1-$B$10)))-(($B$12*$B$32)/(1+B92)))</f>
        <v>10.630950477225801</v>
      </c>
      <c r="F91" s="5">
        <f t="shared" si="8"/>
        <v>191.24681810311569</v>
      </c>
      <c r="G91" s="5">
        <f>I90</f>
        <v>72.983794708209558</v>
      </c>
      <c r="H91" s="20">
        <f>((B89*G91)-(0.77*B88*B94)-(B91*B95*(G91^$B$10)*B94)-((B96*G91*B94)/(1+J90)))/(B89-((B91*$B$10*B95*B94)/(G91^(1-$B$10)))-((B96*B94)/(1+J90)))</f>
        <v>5.6665995727854259</v>
      </c>
      <c r="I91" s="5">
        <f t="shared" si="9"/>
        <v>67.317195135424129</v>
      </c>
      <c r="J91" s="23">
        <f>K90</f>
        <v>0.66372599665765397</v>
      </c>
      <c r="K91" s="19">
        <f>(LN(2)/((LN(D95))-LN(G95)))</f>
        <v>0.66372599212019034</v>
      </c>
      <c r="L91" s="19">
        <f>J91-K91</f>
        <v>4.5374636270523183E-9</v>
      </c>
      <c r="M91" s="1"/>
      <c r="N91" s="1"/>
    </row>
    <row r="92" spans="1:14" x14ac:dyDescent="0.25">
      <c r="A92" s="3" t="s">
        <v>63</v>
      </c>
      <c r="B92" s="2">
        <v>0.63900000000000001</v>
      </c>
      <c r="D92" s="5">
        <f>F91</f>
        <v>191.24681810311569</v>
      </c>
      <c r="E92" s="5">
        <f>((B89*D92)-(0.77*B88*$B$32)-(B91*$B$8*(D92^$B$10)*$B$32)-(($B$12*D92*$B$32)/(1+B92)))/(B89-((B91*$B$10*$B$8*$B$32)/(D92^(1-$B$10)))-(($B$12*$B$32)/(1+B92)))</f>
        <v>5.2289216663883552E-2</v>
      </c>
      <c r="F92" s="5">
        <f t="shared" si="8"/>
        <v>191.19452888645179</v>
      </c>
      <c r="G92" s="5">
        <f>I91</f>
        <v>67.317195135424129</v>
      </c>
      <c r="H92" s="20">
        <f>((B89*G92)-(0.77*B88*B94)-(B91*B95*(G92^$B$10)*B94)-((B96*G92*B94)/(1+J90)))/(B89-((B91*$B$10*B95*B94)/(G92^(1-$B$10)))-((B96*B94)/(1+J90)))</f>
        <v>3.0395063261035506E-2</v>
      </c>
      <c r="I92" s="5">
        <f t="shared" si="9"/>
        <v>67.286800072163089</v>
      </c>
      <c r="J92" s="1"/>
      <c r="K92" s="1"/>
      <c r="L92" s="1"/>
    </row>
    <row r="93" spans="1:14" x14ac:dyDescent="0.25">
      <c r="A93" s="3" t="s">
        <v>66</v>
      </c>
      <c r="B93" s="2">
        <f>($B$10+J91*(1-$B$10)+1)/((1+$B$10)*(1+J91))</f>
        <v>0.75238238699038795</v>
      </c>
      <c r="D93" s="5">
        <f>F92</f>
        <v>191.19452888645179</v>
      </c>
      <c r="E93" s="5">
        <f>((B89*D93)-(0.77*B88*$B$32)-(B91*$B$8*(D93^$B$10)*$B$32)-(($B$12*D93*$B$32)/(1+B92)))/(B89-((B91*$B$10*$B$8*$B$32)/(D93^(1-$B$10)))-(($B$12*$B$32)/(1+B92)))</f>
        <v>1.3382355270270805E-6</v>
      </c>
      <c r="F93" s="5">
        <f t="shared" si="8"/>
        <v>191.19452754821626</v>
      </c>
      <c r="G93" s="5">
        <f>I92</f>
        <v>67.286800072163089</v>
      </c>
      <c r="H93" s="20">
        <f>((B89*G93)-(0.77*B88*B94)-(B91*B95*(G93^$B$10)*B94)-((B96*G93*B94)/(1+J90)))/(B89-((B91*$B$10*B95*B94)/(G93^(1-$B$10)))-((B96*B94)/(1+J90)))</f>
        <v>9.5134974129506109E-7</v>
      </c>
      <c r="I93" s="5">
        <f t="shared" si="9"/>
        <v>67.286799120813342</v>
      </c>
      <c r="J93" s="1"/>
      <c r="K93" s="1"/>
      <c r="L93" s="1"/>
    </row>
    <row r="94" spans="1:14" x14ac:dyDescent="0.25">
      <c r="A94" s="3" t="s">
        <v>67</v>
      </c>
      <c r="B94" s="2">
        <v>200</v>
      </c>
      <c r="D94" s="5">
        <f>F93</f>
        <v>191.19452754821626</v>
      </c>
      <c r="E94" s="5">
        <f>((B89*D94)-(0.77*B88*$B$32)-(B91*$B$8*(D94^$B$10)*$B$32)-(($B$12*D94*$B$32)/(1+B92)))/(B89-((B91*$B$10*$B$8*$B$32)/(D94^(1-$B$10)))-(($B$12*$B$32)/(1+B92)))</f>
        <v>-1.1718144109789937E-14</v>
      </c>
      <c r="F94" s="5">
        <f t="shared" si="8"/>
        <v>191.19452754821626</v>
      </c>
      <c r="G94" s="5">
        <f>I93</f>
        <v>67.286799120813342</v>
      </c>
      <c r="H94" s="20">
        <f>((B89*G94)-(0.77*B88*B94)-(B91*B95*(G94^$B$10)*B94)-((B96*G94*B94)/(1+J90)))/(B89-((B91*$B$10*B95*B94)/(G94^(1-$B$10)))-((B96*B94)/(1+J90)))</f>
        <v>-1.2215434901005825E-14</v>
      </c>
      <c r="I94" s="5">
        <f t="shared" si="9"/>
        <v>67.286799120813356</v>
      </c>
    </row>
    <row r="95" spans="1:14" x14ac:dyDescent="0.25">
      <c r="A95" s="3" t="s">
        <v>28</v>
      </c>
      <c r="B95" s="2">
        <v>3.3999999999999998E-3</v>
      </c>
      <c r="D95" s="7">
        <f>F94</f>
        <v>191.19452754821626</v>
      </c>
      <c r="E95" s="5">
        <f>((B89*D95)-(0.77*B88*$B$32)-(B91*$B$8*(D95^$B$10)*$B$32)-(($B$12*D95*$B$32)/(1+B92)))/(B89-((B91*$B$10*$B$8*$B$32)/(D95^(1-$B$10)))-(($B$12*$B$32)/(1+B92)))</f>
        <v>-1.1718144109789937E-14</v>
      </c>
      <c r="F95" s="5">
        <f t="shared" si="8"/>
        <v>191.19452754821626</v>
      </c>
      <c r="G95" s="7">
        <f>I94</f>
        <v>67.286799120813356</v>
      </c>
      <c r="H95" s="20">
        <f>((B89*G95)-(0.77*B88*B94)-(B91*B95*(G95^$B$10)*B94)-((B96*G95*B94)/(1+J90)))/(B89-((B91*$B$10*B95*B94)/(G95^(1-$B$10)))-((B96*B94)/(1+J90)))</f>
        <v>4.8861739604023297E-15</v>
      </c>
      <c r="I95" s="5">
        <f t="shared" si="9"/>
        <v>67.286799120813356</v>
      </c>
    </row>
    <row r="96" spans="1:14" x14ac:dyDescent="0.25">
      <c r="A96" s="3" t="s">
        <v>29</v>
      </c>
      <c r="B96" s="2">
        <v>1E-4</v>
      </c>
    </row>
    <row r="97" spans="1:14" x14ac:dyDescent="0.25">
      <c r="A97" s="18"/>
    </row>
    <row r="98" spans="1:14" x14ac:dyDescent="0.25">
      <c r="A98" s="60" t="s">
        <v>87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</row>
    <row r="99" spans="1:14" x14ac:dyDescent="0.25">
      <c r="A99" s="24" t="s">
        <v>61</v>
      </c>
      <c r="B99" s="25">
        <f>((B100^2*$B$16^2)/($D$15*$B$21*3600))^(1/$B$22)</f>
        <v>2.5025532723935876E-2</v>
      </c>
      <c r="D99" s="59" t="s">
        <v>65</v>
      </c>
      <c r="E99" s="59"/>
      <c r="F99" s="59"/>
      <c r="G99" s="59" t="s">
        <v>68</v>
      </c>
      <c r="H99" s="59"/>
      <c r="I99" s="59"/>
      <c r="J99" s="59" t="s">
        <v>23</v>
      </c>
      <c r="K99" s="59"/>
      <c r="L99" s="59"/>
      <c r="M99" s="1"/>
      <c r="N99" s="1"/>
    </row>
    <row r="100" spans="1:14" x14ac:dyDescent="0.25">
      <c r="A100" s="3" t="s">
        <v>62</v>
      </c>
      <c r="B100" s="19">
        <f>B101*60/1000</f>
        <v>0.108</v>
      </c>
      <c r="D100" s="2" t="s">
        <v>22</v>
      </c>
      <c r="E100" s="2" t="s">
        <v>21</v>
      </c>
      <c r="F100" s="2" t="s">
        <v>24</v>
      </c>
      <c r="G100" s="2" t="s">
        <v>26</v>
      </c>
      <c r="H100" s="2" t="s">
        <v>21</v>
      </c>
      <c r="I100" s="22" t="s">
        <v>30</v>
      </c>
      <c r="J100" s="2" t="s">
        <v>27</v>
      </c>
      <c r="K100" s="2" t="s">
        <v>25</v>
      </c>
      <c r="L100" s="2"/>
      <c r="M100" s="1"/>
      <c r="N100" s="1"/>
    </row>
    <row r="101" spans="1:14" x14ac:dyDescent="0.25">
      <c r="A101" s="3" t="s">
        <v>31</v>
      </c>
      <c r="B101" s="2">
        <v>1.8</v>
      </c>
      <c r="D101" s="5">
        <f>(5*(B99*$B$32)/B100)</f>
        <v>463.43579118399771</v>
      </c>
      <c r="E101" s="5">
        <f>((B100*D101)-(0.77*B99*$B$32)-(B102*$B$8*(D101^$B$10)*$B$32)-(($B$12*D101*$B$32)/(1+B103)))/(B100-((B102*$B$10*$B$8*$B$32)/(D101^(1-$B$10)))-(($B$12*$B$32)/(1+B103)))</f>
        <v>219.40041415775036</v>
      </c>
      <c r="F101" s="5">
        <f t="shared" ref="F101:F106" si="10">D101-E101</f>
        <v>244.03537702624735</v>
      </c>
      <c r="G101" s="5">
        <f>(5*(B99*B105))/B100</f>
        <v>231.71789559199885</v>
      </c>
      <c r="H101" s="20">
        <f>((B100*G101)-(0.77*B99*B105)-(B102*B106*(G101^$B$10)*B105)-((B107*G101*B105)/(1+J101)))/(B100-((B102*$B$10*B106*B105)/(G101^(1-$B$10)))-((B107*B105)/(1+J101)))</f>
        <v>147.37722255764692</v>
      </c>
      <c r="I101" s="5">
        <f t="shared" ref="I101:I106" si="11">G101-H101</f>
        <v>84.340673034351937</v>
      </c>
      <c r="J101" s="21">
        <v>0.66</v>
      </c>
      <c r="K101" s="2">
        <f>(LN(2)/((LN(D104))-LN(G104)))</f>
        <v>0.63155213383988817</v>
      </c>
      <c r="L101" s="2">
        <f>J101-K101</f>
        <v>2.8447866160111857E-2</v>
      </c>
      <c r="M101" s="1"/>
      <c r="N101" s="1"/>
    </row>
    <row r="102" spans="1:14" x14ac:dyDescent="0.25">
      <c r="A102" s="3" t="s">
        <v>64</v>
      </c>
      <c r="B102" s="19">
        <f>($B$10+B103*(1-$B$10)+1)/((1+$B$10)*(1+B103))</f>
        <v>0.75321977565434162</v>
      </c>
      <c r="D102" s="5">
        <f>F101</f>
        <v>244.03537702624735</v>
      </c>
      <c r="E102" s="5">
        <f>((B100*D102)-(0.77*B99*$B$32)-(B102*$B$8*(D102^$B$10)*$B$32)-(($B$12*D102*$B$32)/(1+B103)))/(B100-((B102*$B$10*$B$8*$B$32)/(D102^(1-$B$10)))-(($B$12*$B$32)/(1+B103)))</f>
        <v>9.9358434973918683</v>
      </c>
      <c r="F102" s="5">
        <f t="shared" si="10"/>
        <v>234.09953352885549</v>
      </c>
      <c r="G102" s="5">
        <f>I101</f>
        <v>84.340673034351937</v>
      </c>
      <c r="H102" s="20">
        <f>((B100*G102)-(0.77*B99*B105)-(B102*B106*(G102^$B$10)*B105)-((B107*G102*B105)/(1+J101)))/(B100-((B102*$B$10*B106*B105)/(G102^(1-$B$10)))-((B107*B105)/(1+J101)))</f>
        <v>6.2019408021357103</v>
      </c>
      <c r="I102" s="5">
        <f t="shared" si="11"/>
        <v>78.138732232216228</v>
      </c>
      <c r="J102" s="23">
        <f>K101</f>
        <v>0.63155213383988817</v>
      </c>
      <c r="K102" s="19">
        <f>(LN(2)/((LN(D106))-LN(G106)))</f>
        <v>0.63155212686771922</v>
      </c>
      <c r="L102" s="19">
        <f>J102-K102</f>
        <v>6.9721689532897813E-9</v>
      </c>
      <c r="M102" s="1"/>
      <c r="N102" s="1"/>
    </row>
    <row r="103" spans="1:14" x14ac:dyDescent="0.25">
      <c r="A103" s="3" t="s">
        <v>63</v>
      </c>
      <c r="B103" s="2">
        <v>0.66</v>
      </c>
      <c r="D103" s="5">
        <f>F102</f>
        <v>234.09953352885549</v>
      </c>
      <c r="E103" s="5">
        <f>((B100*D103)-(0.77*B99*$B$32)-(B102*$B$8*(D103^$B$10)*$B$32)-(($B$12*D103*$B$32)/(1+B103)))/(B100-((B102*$B$10*$B$8*$B$32)/(D103^(1-$B$10)))-(($B$12*$B$32)/(1+B103)))</f>
        <v>4.1786774093373516E-2</v>
      </c>
      <c r="F103" s="5">
        <f t="shared" si="10"/>
        <v>234.05774675476212</v>
      </c>
      <c r="G103" s="5">
        <f>I102</f>
        <v>78.138732232216228</v>
      </c>
      <c r="H103" s="20">
        <f>((B100*G103)-(0.77*B99*B105)-(B102*B106*(G103^$B$10)*B105)-((B107*G103*B105)/(1+J101)))/(B100-((B102*$B$10*B106*B105)/(G103^(1-$B$10)))-((B107*B105)/(1+J101)))</f>
        <v>3.4969452790989564E-2</v>
      </c>
      <c r="I103" s="5">
        <f t="shared" si="11"/>
        <v>78.103762779425239</v>
      </c>
      <c r="J103" s="1"/>
      <c r="K103" s="1"/>
      <c r="L103" s="1"/>
    </row>
    <row r="104" spans="1:14" x14ac:dyDescent="0.25">
      <c r="A104" s="3" t="s">
        <v>66</v>
      </c>
      <c r="B104" s="2">
        <f>($B$10+J102*(1-$B$10)+1)/((1+$B$10)*(1+J102))</f>
        <v>0.75973928871404917</v>
      </c>
      <c r="D104" s="5">
        <f>F103</f>
        <v>234.05774675476212</v>
      </c>
      <c r="E104" s="5">
        <f>((B100*D104)-(0.77*B99*$B$32)-(B102*$B$8*(D104^$B$10)*$B$32)-(($B$12*D104*$B$32)/(1+B103)))/(B100-((B102*$B$10*$B$8*$B$32)/(D104^(1-$B$10)))-(($B$12*$B$32)/(1+B103)))</f>
        <v>7.7172746740129061E-7</v>
      </c>
      <c r="F104" s="5">
        <f t="shared" si="10"/>
        <v>234.05774598303466</v>
      </c>
      <c r="G104" s="5">
        <f>I103</f>
        <v>78.103762779425239</v>
      </c>
      <c r="H104" s="20">
        <f>((B100*G104)-(0.77*B99*B105)-(B102*B106*(G104^$B$10)*B105)-((B107*G104*B105)/(1+J101)))/(B100-((B102*$B$10*B106*B105)/(G104^(1-$B$10)))-((B107*B105)/(1+J101)))</f>
        <v>1.203860581843892E-6</v>
      </c>
      <c r="I104" s="5">
        <f t="shared" si="11"/>
        <v>78.103761575564661</v>
      </c>
      <c r="J104" s="1"/>
      <c r="K104" s="1"/>
      <c r="L104" s="1"/>
    </row>
    <row r="105" spans="1:14" x14ac:dyDescent="0.25">
      <c r="A105" s="3" t="s">
        <v>67</v>
      </c>
      <c r="B105" s="2">
        <v>200</v>
      </c>
      <c r="D105" s="5">
        <f>F104</f>
        <v>234.05774598303466</v>
      </c>
      <c r="E105" s="5">
        <f>((B100*D105)-(0.77*B99*$B$32)-(B102*$B$8*(D105^$B$10)*$B$32)-(($B$12*D105*$B$32)/(1+B103)))/(B100-((B102*$B$10*$B$8*$B$32)/(D105^(1-$B$10)))-(($B$12*$B$32)/(1+B103)))</f>
        <v>1.4568387070736755E-14</v>
      </c>
      <c r="F105" s="5">
        <f t="shared" si="10"/>
        <v>234.05774598303464</v>
      </c>
      <c r="G105" s="5">
        <f>I104</f>
        <v>78.103761575564661</v>
      </c>
      <c r="H105" s="20">
        <f>((B100*G105)-(0.77*B99*B105)-(B102*B106*(G105^$B$10)*B105)-((B107*G105*B105)/(1+J101)))/(B100-((B102*$B$10*B106*B105)/(G105^(1-$B$10)))-((B107*B105)/(1+J101)))</f>
        <v>-1.0365097266431949E-14</v>
      </c>
      <c r="I105" s="5">
        <f t="shared" si="11"/>
        <v>78.103761575564675</v>
      </c>
    </row>
    <row r="106" spans="1:14" x14ac:dyDescent="0.25">
      <c r="A106" s="3" t="s">
        <v>28</v>
      </c>
      <c r="B106" s="2">
        <v>3.3999999999999998E-3</v>
      </c>
      <c r="D106" s="7">
        <f>F105</f>
        <v>234.05774598303464</v>
      </c>
      <c r="E106" s="5">
        <f>((B100*D106)-(0.77*B99*$B$32)-(B102*$B$8*(D106^$B$10)*$B$32)-(($B$12*D106*$B$32)/(1+B103)))/(B100-((B102*$B$10*$B$8*$B$32)/(D106^(1-$B$10)))-(($B$12*$B$32)/(1+B103)))</f>
        <v>2.913677414147351E-14</v>
      </c>
      <c r="F106" s="5">
        <f t="shared" si="10"/>
        <v>234.05774598303461</v>
      </c>
      <c r="G106" s="7">
        <f>I105</f>
        <v>78.103761575564675</v>
      </c>
      <c r="H106" s="20">
        <f>((B100*G106)-(0.77*B99*B105)-(B102*B106*(G106^$B$10)*B105)-((B107*G106*B105)/(1+J101)))/(B100-((B102*$B$10*B106*B105)/(G106^(1-$B$10)))-((B107*B105)/(1+J101)))</f>
        <v>-8.8843690855130978E-15</v>
      </c>
      <c r="I106" s="5">
        <f t="shared" si="11"/>
        <v>78.10376157556469</v>
      </c>
    </row>
    <row r="107" spans="1:14" x14ac:dyDescent="0.25">
      <c r="A107" s="3" t="s">
        <v>29</v>
      </c>
      <c r="B107" s="2">
        <v>1E-4</v>
      </c>
    </row>
    <row r="108" spans="1:14" x14ac:dyDescent="0.25">
      <c r="A108" s="18"/>
    </row>
    <row r="109" spans="1:14" x14ac:dyDescent="0.25">
      <c r="A109" s="62" t="s">
        <v>85</v>
      </c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4"/>
    </row>
    <row r="110" spans="1:14" x14ac:dyDescent="0.25">
      <c r="A110" s="24" t="s">
        <v>61</v>
      </c>
      <c r="B110" s="25">
        <f>((B111^2*$B$16^2)/($D$15*$B$21*3600))^(1/$B$22)</f>
        <v>2.2407566666593659E-2</v>
      </c>
      <c r="D110" s="59" t="s">
        <v>65</v>
      </c>
      <c r="E110" s="59"/>
      <c r="F110" s="59"/>
      <c r="G110" s="59" t="s">
        <v>68</v>
      </c>
      <c r="H110" s="59"/>
      <c r="I110" s="59"/>
      <c r="J110" s="59" t="s">
        <v>23</v>
      </c>
      <c r="K110" s="59"/>
      <c r="L110" s="59"/>
      <c r="M110" s="1"/>
      <c r="N110" s="1"/>
    </row>
    <row r="111" spans="1:14" x14ac:dyDescent="0.25">
      <c r="A111" s="3" t="s">
        <v>62</v>
      </c>
      <c r="B111" s="19">
        <f>B112*60/1000</f>
        <v>0.09</v>
      </c>
      <c r="D111" s="2" t="s">
        <v>22</v>
      </c>
      <c r="E111" s="2" t="s">
        <v>21</v>
      </c>
      <c r="F111" s="2" t="s">
        <v>24</v>
      </c>
      <c r="G111" s="2" t="s">
        <v>26</v>
      </c>
      <c r="H111" s="2" t="s">
        <v>21</v>
      </c>
      <c r="I111" s="22" t="s">
        <v>30</v>
      </c>
      <c r="J111" s="2" t="s">
        <v>27</v>
      </c>
      <c r="K111" s="2" t="s">
        <v>25</v>
      </c>
      <c r="L111" s="2"/>
      <c r="M111" s="1"/>
      <c r="N111" s="1"/>
    </row>
    <row r="112" spans="1:14" x14ac:dyDescent="0.25">
      <c r="A112" s="3" t="s">
        <v>31</v>
      </c>
      <c r="B112" s="2">
        <v>1.5</v>
      </c>
      <c r="D112" s="5">
        <f>(5*(B110*$B$32)/B111)</f>
        <v>497.94592592430354</v>
      </c>
      <c r="E112" s="5">
        <f>((B111*D112)-(0.77*B110*$B$32)-(B113*$B$8*(D112^$B$10)*$B$32)-(($B$12*D112*$B$32)/(1+B114)))/(B111-((B113*$B$10*$B$8*$B$32)/(D112^(1-$B$10)))-(($B$12*$B$32)/(1+B114)))</f>
        <v>180.41776239127981</v>
      </c>
      <c r="F112" s="5">
        <f t="shared" ref="F112:F117" si="12">D112-E112</f>
        <v>317.52816353302376</v>
      </c>
      <c r="G112" s="5">
        <f>(5*(B110*B116))/B111</f>
        <v>248.97296296215177</v>
      </c>
      <c r="H112" s="20">
        <f>((B111*G112)-(0.77*B110*B116)-(B113*B117*(G112^$B$10)*B116)-((B118*G112*B116)/(1+J112)))/(B111-((B113*$B$10*B117*B116)/(G112^(1-$B$10)))-((B118*B116)/(1+J112)))</f>
        <v>146.91664422670934</v>
      </c>
      <c r="I112" s="5">
        <f t="shared" ref="I112:I117" si="13">G112-H112</f>
        <v>102.05631873544243</v>
      </c>
      <c r="J112" s="21">
        <v>0.66</v>
      </c>
      <c r="K112" s="2">
        <f>(LN(2)/((LN(D115))-LN(G115)))</f>
        <v>0.58757928565850648</v>
      </c>
      <c r="L112" s="2">
        <f>J112-K112</f>
        <v>7.2420714341493553E-2</v>
      </c>
      <c r="M112" s="1"/>
      <c r="N112" s="1"/>
    </row>
    <row r="113" spans="1:14" x14ac:dyDescent="0.25">
      <c r="A113" s="3" t="s">
        <v>64</v>
      </c>
      <c r="B113" s="19">
        <f>($B$10+B114*(1-$B$10)+1)/((1+$B$10)*(1+B114))</f>
        <v>0.75321977565434162</v>
      </c>
      <c r="D113" s="5">
        <f>F112</f>
        <v>317.52816353302376</v>
      </c>
      <c r="E113" s="5">
        <f>((B111*D113)-(0.77*B110*$B$32)-(B113*$B$8*(D113^$B$10)*$B$32)-(($B$12*D113*$B$32)/(1+B114)))/(B111-((B113*$B$10*$B$8*$B$32)/(D113^(1-$B$10)))-(($B$12*$B$32)/(1+B114)))</f>
        <v>7.2924594245542007</v>
      </c>
      <c r="F113" s="5">
        <f t="shared" si="12"/>
        <v>310.23570410846958</v>
      </c>
      <c r="G113" s="5">
        <f>I112</f>
        <v>102.05631873544243</v>
      </c>
      <c r="H113" s="20">
        <f>((B111*G113)-(0.77*B110*B116)-(B113*B117*(G113^$B$10)*B116)-((B118*G113*B116)/(1+J112)))/(B111-((B113*$B$10*B117*B116)/(G113^(1-$B$10)))-((B118*B116)/(1+J112)))</f>
        <v>6.6637203519708406</v>
      </c>
      <c r="I113" s="5">
        <f t="shared" si="13"/>
        <v>95.392598383471594</v>
      </c>
      <c r="J113" s="23">
        <f>K112</f>
        <v>0.58757928565850648</v>
      </c>
      <c r="K113" s="19">
        <f>(LN(2)/((LN(D117))-LN(G117)))</f>
        <v>0.5875792790164126</v>
      </c>
      <c r="L113" s="19">
        <f>J113-K113</f>
        <v>6.6420938749089942E-9</v>
      </c>
      <c r="M113" s="1"/>
      <c r="N113" s="1"/>
    </row>
    <row r="114" spans="1:14" x14ac:dyDescent="0.25">
      <c r="A114" s="3" t="s">
        <v>63</v>
      </c>
      <c r="B114" s="2">
        <v>0.66</v>
      </c>
      <c r="D114" s="5">
        <f>F113</f>
        <v>310.23570410846958</v>
      </c>
      <c r="E114" s="5">
        <f>((B111*D114)-(0.77*B110*$B$32)-(B113*$B$8*(D114^$B$10)*$B$32)-(($B$12*D114*$B$32)/(1+B114)))/(B111-((B113*$B$10*$B$8*$B$32)/(D114^(1-$B$10)))-(($B$12*$B$32)/(1+B114)))</f>
        <v>1.9543104526188022E-2</v>
      </c>
      <c r="F114" s="5">
        <f t="shared" si="12"/>
        <v>310.2161610039434</v>
      </c>
      <c r="G114" s="5">
        <f>I113</f>
        <v>95.392598383471594</v>
      </c>
      <c r="H114" s="20">
        <f>((B111*G114)-(0.77*B110*B116)-(B113*B117*(G114^$B$10)*B116)-((B118*G114*B116)/(1+J112)))/(B111-((B113*$B$10*B117*B116)/(G114^(1-$B$10)))-((B118*B116)/(1+J112)))</f>
        <v>3.7904302265738557E-2</v>
      </c>
      <c r="I114" s="5">
        <f t="shared" si="13"/>
        <v>95.354694081205849</v>
      </c>
      <c r="J114" s="1"/>
      <c r="K114" s="1"/>
      <c r="L114" s="1"/>
    </row>
    <row r="115" spans="1:14" x14ac:dyDescent="0.25">
      <c r="A115" s="3" t="s">
        <v>66</v>
      </c>
      <c r="B115" s="2">
        <f>($B$10+J113*(1-$B$10)+1)/((1+$B$10)*(1+J113))</f>
        <v>0.77027642808368013</v>
      </c>
      <c r="D115" s="5">
        <f>F114</f>
        <v>310.2161610039434</v>
      </c>
      <c r="E115" s="5">
        <f>((B111*D115)-(0.77*B110*$B$32)-(B113*$B$8*(D115^$B$10)*$B$32)-(($B$12*D115*$B$32)/(1+B114)))/(B111-((B113*$B$10*$B$8*$B$32)/(D115^(1-$B$10)))-(($B$12*$B$32)/(1+B114)))</f>
        <v>1.4377876472195776E-7</v>
      </c>
      <c r="F115" s="5">
        <f t="shared" si="12"/>
        <v>310.21616086016462</v>
      </c>
      <c r="G115" s="5">
        <f>I114</f>
        <v>95.354694081205849</v>
      </c>
      <c r="H115" s="20">
        <f>((B111*G115)-(0.77*B110*B116)-(B113*B117*(G115^$B$10)*B116)-((B118*G115*B116)/(1+J112)))/(B111-((B113*$B$10*B117*B116)/(G115^(1-$B$10)))-((B118*B116)/(1+J112)))</f>
        <v>1.3157630459481827E-6</v>
      </c>
      <c r="I115" s="5">
        <f t="shared" si="13"/>
        <v>95.354692765442806</v>
      </c>
      <c r="J115" s="1"/>
      <c r="K115" s="1"/>
      <c r="L115" s="1"/>
    </row>
    <row r="116" spans="1:14" x14ac:dyDescent="0.25">
      <c r="A116" s="3" t="s">
        <v>67</v>
      </c>
      <c r="B116" s="2">
        <v>200</v>
      </c>
      <c r="D116" s="5">
        <f>F115</f>
        <v>310.21616086016462</v>
      </c>
      <c r="E116" s="5">
        <f>((B111*D116)-(0.77*B110*$B$32)-(B113*$B$8*(D116^$B$10)*$B$32)-(($B$12*D116*$B$32)/(1+B114)))/(B111-((B113*$B$10*$B$8*$B$32)/(D116^(1-$B$10)))-(($B$12*$B$32)/(1+B114)))</f>
        <v>9.6001940044759676E-14</v>
      </c>
      <c r="F116" s="5">
        <f t="shared" si="12"/>
        <v>310.21616086016451</v>
      </c>
      <c r="G116" s="5">
        <f>I115</f>
        <v>95.354692765442806</v>
      </c>
      <c r="H116" s="20">
        <f>((B111*G116)-(0.77*B110*B116)-(B113*B117*(G116^$B$10)*B116)-((B118*G116*B116)/(1+J112)))/(B111-((B113*$B$10*B117*B116)/(G116^(1-$B$10)))-((B118*B116)/(1+J112)))</f>
        <v>-3.7533895427819276E-15</v>
      </c>
      <c r="I116" s="5">
        <f t="shared" si="13"/>
        <v>95.354692765442806</v>
      </c>
    </row>
    <row r="117" spans="1:14" x14ac:dyDescent="0.25">
      <c r="A117" s="3" t="s">
        <v>28</v>
      </c>
      <c r="B117" s="2">
        <v>3.3999999999999998E-3</v>
      </c>
      <c r="D117" s="7">
        <f>F116</f>
        <v>310.21616086016451</v>
      </c>
      <c r="E117" s="5">
        <f>((B111*D117)-(0.77*B110*$B$32)-(B113*$B$8*(D117^$B$10)*$B$32)-(($B$12*D117*$B$32)/(1+B114)))/(B111-((B113*$B$10*$B$8*$B$32)/(D117^(1-$B$10)))-(($B$12*$B$32)/(1+B114)))</f>
        <v>-1.9200388008951936E-14</v>
      </c>
      <c r="F117" s="5">
        <f t="shared" si="12"/>
        <v>310.21616086016451</v>
      </c>
      <c r="G117" s="7">
        <f>I116</f>
        <v>95.354692765442806</v>
      </c>
      <c r="H117" s="20">
        <f>((B111*G117)-(0.77*B110*B116)-(B113*B117*(G117^$B$10)*B116)-((B118*G117*B116)/(1+J112)))/(B111-((B113*$B$10*B117*B116)/(G117^(1-$B$10)))-((B118*B116)/(1+J112)))</f>
        <v>-3.7533895427819276E-15</v>
      </c>
      <c r="I117" s="5">
        <f t="shared" si="13"/>
        <v>95.354692765442806</v>
      </c>
    </row>
    <row r="118" spans="1:14" x14ac:dyDescent="0.25">
      <c r="A118" s="3" t="s">
        <v>29</v>
      </c>
      <c r="B118" s="2">
        <v>1E-4</v>
      </c>
    </row>
    <row r="119" spans="1:14" x14ac:dyDescent="0.25">
      <c r="A119" s="18"/>
    </row>
    <row r="120" spans="1:14" x14ac:dyDescent="0.25">
      <c r="A120" s="60" t="s">
        <v>86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</row>
    <row r="121" spans="1:14" x14ac:dyDescent="0.25">
      <c r="A121" s="24" t="s">
        <v>61</v>
      </c>
      <c r="B121" s="25">
        <f>((B122^2*$B$16^2)/($D$15*$B$21*3600))^(1/$B$22)</f>
        <v>1.7525593009747539E-2</v>
      </c>
      <c r="D121" s="59" t="s">
        <v>65</v>
      </c>
      <c r="E121" s="59"/>
      <c r="F121" s="59"/>
      <c r="G121" s="59" t="s">
        <v>68</v>
      </c>
      <c r="H121" s="59"/>
      <c r="I121" s="59"/>
      <c r="J121" s="59" t="s">
        <v>23</v>
      </c>
      <c r="K121" s="59"/>
      <c r="L121" s="59"/>
      <c r="M121" s="1"/>
      <c r="N121" s="1"/>
    </row>
    <row r="122" spans="1:14" x14ac:dyDescent="0.25">
      <c r="A122" s="3" t="s">
        <v>62</v>
      </c>
      <c r="B122" s="19">
        <f>B123*60/1000</f>
        <v>0.06</v>
      </c>
      <c r="D122" s="2" t="s">
        <v>22</v>
      </c>
      <c r="E122" s="2" t="s">
        <v>21</v>
      </c>
      <c r="F122" s="2" t="s">
        <v>24</v>
      </c>
      <c r="G122" s="2" t="s">
        <v>26</v>
      </c>
      <c r="H122" s="2" t="s">
        <v>21</v>
      </c>
      <c r="I122" s="22" t="s">
        <v>30</v>
      </c>
      <c r="J122" s="2" t="s">
        <v>27</v>
      </c>
      <c r="K122" s="2" t="s">
        <v>25</v>
      </c>
      <c r="L122" s="2"/>
      <c r="M122" s="1"/>
      <c r="N122" s="1"/>
    </row>
    <row r="123" spans="1:14" x14ac:dyDescent="0.25">
      <c r="A123" s="3" t="s">
        <v>31</v>
      </c>
      <c r="B123" s="2">
        <v>1</v>
      </c>
      <c r="D123" s="5">
        <f>(5*(B121*$B$32)/B122)</f>
        <v>584.1864336582513</v>
      </c>
      <c r="E123" s="5">
        <f>((B122*D123)-(0.77*B121*$B$32)-(B124*$B$8*(D123^$B$10)*$B$32)-(($B$12*D123*$B$32)/(1+B125)))/(B122-((B124*$B$10*$B$8*$B$32)/(D123^(1-$B$10)))-(($B$12*$B$32)/(1+B125)))</f>
        <v>-132.90945478210321</v>
      </c>
      <c r="F123" s="5">
        <f t="shared" ref="F123:F128" si="14">D123-E123</f>
        <v>717.09588844035454</v>
      </c>
      <c r="G123" s="5">
        <f>(5*(B121*B127))/B122</f>
        <v>292.09321682912565</v>
      </c>
      <c r="H123" s="20">
        <f>((B122*G123)-(0.77*B121*B127)-(B124*B128*(G123^$B$10)*B127)-((B129*G123*B127)/(1+J123)))/(B122-((B124*$B$10*B128*B127)/(G123^(1-$B$10)))-((B129*B127)/(1+J123)))</f>
        <v>122.50605482364483</v>
      </c>
      <c r="I123" s="5">
        <f t="shared" ref="I123:I128" si="15">G123-H123</f>
        <v>169.58716200548082</v>
      </c>
      <c r="J123" s="21">
        <v>0.63</v>
      </c>
      <c r="K123" s="2">
        <f>(LN(2)/((LN(D126))-LN(G126)))</f>
        <v>0.47188937268440528</v>
      </c>
      <c r="L123" s="2">
        <f>J123-K123</f>
        <v>0.15811062731559472</v>
      </c>
      <c r="M123" s="1"/>
      <c r="N123" s="1"/>
    </row>
    <row r="124" spans="1:14" x14ac:dyDescent="0.25">
      <c r="A124" s="3" t="s">
        <v>64</v>
      </c>
      <c r="B124" s="19">
        <f>($B$10+B125*(1-$B$10)+1)/((1+$B$10)*(1+B125))</f>
        <v>0.76010154431986465</v>
      </c>
      <c r="D124" s="5">
        <f>F123</f>
        <v>717.09588844035454</v>
      </c>
      <c r="E124" s="5">
        <f>((B122*D124)-(0.77*B121*$B$32)-(B124*$B$8*(D124^$B$10)*$B$32)-(($B$12*D124*$B$32)/(1+B125)))/(B122-((B124*$B$10*$B$8*$B$32)/(D124^(1-$B$10)))-(($B$12*$B$32)/(1+B125)))</f>
        <v>4.5486531302537916</v>
      </c>
      <c r="F124" s="5">
        <f t="shared" si="14"/>
        <v>712.54723531010075</v>
      </c>
      <c r="G124" s="5">
        <f>I123</f>
        <v>169.58716200548082</v>
      </c>
      <c r="H124" s="20">
        <f>((B122*G124)-(0.77*B121*B127)-(B124*B128*(G124^$B$10)*B127)-((B129*G124*B127)/(1+J123)))/(B122-((B124*$B$10*B128*B127)/(G124^(1-$B$10)))-((B129*B127)/(1+J123)))</f>
        <v>5.5503510554085471</v>
      </c>
      <c r="I124" s="5">
        <f t="shared" si="15"/>
        <v>164.03681095007227</v>
      </c>
      <c r="J124" s="23">
        <f>K123</f>
        <v>0.47188937268440528</v>
      </c>
      <c r="K124" s="19">
        <f>(LN(2)/((LN(D128))-LN(G128)))</f>
        <v>0.47188937208858772</v>
      </c>
      <c r="L124" s="19">
        <f>J124-K124</f>
        <v>5.9581756195470348E-10</v>
      </c>
      <c r="M124" s="1"/>
      <c r="N124" s="1"/>
    </row>
    <row r="125" spans="1:14" x14ac:dyDescent="0.25">
      <c r="A125" s="3" t="s">
        <v>63</v>
      </c>
      <c r="B125" s="2">
        <v>0.63</v>
      </c>
      <c r="D125" s="5">
        <f>F124</f>
        <v>712.54723531010075</v>
      </c>
      <c r="E125" s="5">
        <f>((B122*D125)-(0.77*B121*$B$32)-(B124*$B$8*(D125^$B$10)*$B$32)-(($B$12*D125*$B$32)/(1+B125)))/(B122-((B124*$B$10*$B$8*$B$32)/(D125^(1-$B$10)))-(($B$12*$B$32)/(1+B125)))</f>
        <v>4.3444883564802269E-3</v>
      </c>
      <c r="F125" s="5">
        <f t="shared" si="14"/>
        <v>712.54289082174432</v>
      </c>
      <c r="G125" s="5">
        <f>I124</f>
        <v>164.03681095007227</v>
      </c>
      <c r="H125" s="20">
        <f>((B122*G125)-(0.77*B121*B127)-(B124*B128*(G125^$B$10)*B127)-((B129*G125*B127)/(1+J123)))/(B122-((B124*$B$10*B128*B127)/(G125^(1-$B$10)))-((B129*B127)/(1+J123)))</f>
        <v>2.0862351031137236E-2</v>
      </c>
      <c r="I125" s="5">
        <f t="shared" si="15"/>
        <v>164.01594859904114</v>
      </c>
      <c r="J125" s="1"/>
      <c r="K125" s="1"/>
      <c r="L125" s="1"/>
    </row>
    <row r="126" spans="1:14" x14ac:dyDescent="0.25">
      <c r="A126" s="3" t="s">
        <v>66</v>
      </c>
      <c r="B126" s="2">
        <f>($B$10+J124*(1-$B$10)+1)/((1+$B$10)*(1+J124))</f>
        <v>0.80100620505409981</v>
      </c>
      <c r="D126" s="5">
        <f>F125</f>
        <v>712.54289082174432</v>
      </c>
      <c r="E126" s="5">
        <f>((B122*D126)-(0.77*B121*$B$32)-(B124*$B$8*(D126^$B$10)*$B$32)-(($B$12*D126*$B$32)/(1+B125)))/(B122-((B124*$B$10*$B$8*$B$32)/(D126^(1-$B$10)))-(($B$12*$B$32)/(1+B125)))</f>
        <v>3.9891960597211802E-9</v>
      </c>
      <c r="F126" s="5">
        <f t="shared" si="14"/>
        <v>712.54289081775516</v>
      </c>
      <c r="G126" s="5">
        <f>I125</f>
        <v>164.01594859904114</v>
      </c>
      <c r="H126" s="20">
        <f>((B122*G126)-(0.77*B121*B127)-(B124*B128*(G126^$B$10)*B127)-((B129*G126*B127)/(1+J123)))/(B122-((B124*$B$10*B128*B127)/(G126^(1-$B$10)))-((B129*B127)/(1+J123)))</f>
        <v>3.0510801121885287E-7</v>
      </c>
      <c r="I126" s="5">
        <f t="shared" si="15"/>
        <v>164.01594829393312</v>
      </c>
      <c r="J126" s="1"/>
      <c r="K126" s="1"/>
      <c r="L126" s="1"/>
    </row>
    <row r="127" spans="1:14" x14ac:dyDescent="0.25">
      <c r="A127" s="3" t="s">
        <v>67</v>
      </c>
      <c r="B127" s="2">
        <v>200</v>
      </c>
      <c r="D127" s="5">
        <f>F126</f>
        <v>712.54289081775516</v>
      </c>
      <c r="E127" s="5">
        <f>((B122*D127)-(0.77*B121*$B$32)-(B124*$B$8*(D127^$B$10)*$B$32)-(($B$12*D127*$B$32)/(1+B125)))/(B122-((B124*$B$10*$B$8*$B$32)/(D127^(1-$B$10)))-(($B$12*$B$32)/(1+B125)))</f>
        <v>-1.5505873439296871E-13</v>
      </c>
      <c r="F127" s="5">
        <f t="shared" si="14"/>
        <v>712.54289081775528</v>
      </c>
      <c r="G127" s="5">
        <f>I126</f>
        <v>164.01594829393312</v>
      </c>
      <c r="H127" s="20">
        <f>((B122*G127)-(0.77*B121*B127)-(B124*B128*(G127^$B$10)*B127)-((B129*G127*B127)/(1+J123)))/(B122-((B124*$B$10*B128*B127)/(G127^(1-$B$10)))-((B129*B127)/(1+J123)))</f>
        <v>-7.9168647586525318E-14</v>
      </c>
      <c r="I127" s="5">
        <f t="shared" si="15"/>
        <v>164.01594829393321</v>
      </c>
    </row>
    <row r="128" spans="1:14" x14ac:dyDescent="0.25">
      <c r="A128" s="3" t="s">
        <v>28</v>
      </c>
      <c r="B128" s="2">
        <v>3.3999999999999998E-3</v>
      </c>
      <c r="D128" s="7">
        <f>F127</f>
        <v>712.54289081775528</v>
      </c>
      <c r="E128" s="5">
        <f>((B122*D128)-(0.77*B121*$B$32)-(B124*$B$8*(D128^$B$10)*$B$32)-(($B$12*D128*$B$32)/(1+B125)))/(B122-((B124*$B$10*$B$8*$B$32)/(D128^(1-$B$10)))-(($B$12*$B$32)/(1+B125)))</f>
        <v>0</v>
      </c>
      <c r="F128" s="5">
        <f t="shared" si="14"/>
        <v>712.54289081775528</v>
      </c>
      <c r="G128" s="7">
        <f>I127</f>
        <v>164.01594829393321</v>
      </c>
      <c r="H128" s="20">
        <f>((B122*G128)-(0.77*B121*B127)-(B124*B128*(G128^$B$10)*B127)-((B129*G128*B127)/(1+J123)))/(B122-((B124*$B$10*B128*B127)/(G128^(1-$B$10)))-((B129*B127)/(1+J123)))</f>
        <v>1.3194774597754218E-14</v>
      </c>
      <c r="I128" s="5">
        <f t="shared" si="15"/>
        <v>164.01594829393321</v>
      </c>
    </row>
    <row r="129" spans="1:15" x14ac:dyDescent="0.25">
      <c r="A129" s="3" t="s">
        <v>29</v>
      </c>
      <c r="B129" s="2">
        <v>1E-4</v>
      </c>
    </row>
    <row r="130" spans="1:15" x14ac:dyDescent="0.25">
      <c r="A130" s="18"/>
    </row>
    <row r="131" spans="1:15" x14ac:dyDescent="0.25">
      <c r="A131" s="18"/>
    </row>
    <row r="132" spans="1:15" x14ac:dyDescent="0.25">
      <c r="A132" s="58" t="s">
        <v>127</v>
      </c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</row>
    <row r="133" spans="1:15" x14ac:dyDescent="0.25">
      <c r="A133" s="18"/>
      <c r="B133" s="1" t="s">
        <v>124</v>
      </c>
      <c r="C133" s="1" t="s">
        <v>125</v>
      </c>
      <c r="D133" s="1" t="s">
        <v>32</v>
      </c>
      <c r="E133" s="1" t="s">
        <v>23</v>
      </c>
      <c r="F133" s="1" t="s">
        <v>33</v>
      </c>
      <c r="G133" s="1" t="s">
        <v>34</v>
      </c>
      <c r="H133" s="1" t="s">
        <v>126</v>
      </c>
      <c r="I133" s="1" t="s">
        <v>35</v>
      </c>
    </row>
    <row r="134" spans="1:15" x14ac:dyDescent="0.25">
      <c r="A134" s="18"/>
      <c r="B134" s="1">
        <f>B53</f>
        <v>8.6240000000000006</v>
      </c>
      <c r="C134" s="1">
        <f>B134*60/1000</f>
        <v>0.51744000000000001</v>
      </c>
      <c r="D134" s="14">
        <f>D44</f>
        <v>57.314617387904718</v>
      </c>
      <c r="E134" s="13">
        <f>J54</f>
        <v>0.88602919905889488</v>
      </c>
      <c r="F134" s="13">
        <f>$B$14/(D134^E134)</f>
        <v>11.070965805949266</v>
      </c>
      <c r="G134" s="13">
        <f>(((C134^2)*($B$16^2))/(3600*($B$15/100)))^0.3</f>
        <v>6.6475443505228229E-2</v>
      </c>
      <c r="H134" s="14">
        <f>D134+$E$46</f>
        <v>252.39158792010423</v>
      </c>
      <c r="I134" s="1">
        <f>(($D$17*$B$14)/(C134*H134))*100</f>
        <v>17.151935865527722</v>
      </c>
    </row>
    <row r="135" spans="1:15" x14ac:dyDescent="0.25">
      <c r="A135" s="18"/>
      <c r="B135" s="1">
        <f>B68</f>
        <v>5</v>
      </c>
      <c r="C135" s="1">
        <f t="shared" ref="C135:C139" si="16">B135*60/1000</f>
        <v>0.3</v>
      </c>
      <c r="D135" s="14">
        <f>D73</f>
        <v>75.612378056049181</v>
      </c>
      <c r="E135" s="13">
        <f>J69</f>
        <v>0.82848881281742759</v>
      </c>
      <c r="F135" s="13">
        <f t="shared" ref="F135:F140" si="17">$B$14/(D135^E135)</f>
        <v>11.108790902183042</v>
      </c>
      <c r="G135" s="13">
        <f>(((C135^2)*($B$16^2))/(3600*($B$15/100)))^0.3</f>
        <v>4.793116637422952E-2</v>
      </c>
      <c r="H135" s="14">
        <f t="shared" ref="H135:H140" si="18">D135+$E$46</f>
        <v>270.68934858824866</v>
      </c>
      <c r="I135" s="1">
        <f t="shared" ref="I135:I140" si="19">(($D$17*$B$14)/(C135*H135))*100</f>
        <v>27.583895360524043</v>
      </c>
    </row>
    <row r="136" spans="1:15" x14ac:dyDescent="0.25">
      <c r="A136" s="18"/>
      <c r="B136" s="1">
        <f>B79</f>
        <v>3</v>
      </c>
      <c r="C136" s="1">
        <f t="shared" si="16"/>
        <v>0.18</v>
      </c>
      <c r="D136" s="14">
        <f>D84</f>
        <v>126.6138263625071</v>
      </c>
      <c r="E136" s="13">
        <f>J80</f>
        <v>0.732937128789937</v>
      </c>
      <c r="F136" s="13">
        <f t="shared" si="17"/>
        <v>11.509951824485789</v>
      </c>
      <c r="G136" s="13">
        <f>(((C136^2)*($B$16^2))/(3600*($B$15/100)))^0.3</f>
        <v>3.527838923766189E-2</v>
      </c>
      <c r="H136" s="14">
        <f t="shared" si="18"/>
        <v>321.69079689470664</v>
      </c>
      <c r="I136" s="1">
        <f t="shared" si="19"/>
        <v>38.684490089772964</v>
      </c>
    </row>
    <row r="137" spans="1:15" x14ac:dyDescent="0.25">
      <c r="A137" s="18"/>
      <c r="B137" s="1">
        <f>B90</f>
        <v>2.1</v>
      </c>
      <c r="C137" s="1">
        <f t="shared" si="16"/>
        <v>0.126</v>
      </c>
      <c r="D137" s="14">
        <f>D95</f>
        <v>191.19452754821626</v>
      </c>
      <c r="E137" s="13">
        <f>J91</f>
        <v>0.66372599665765397</v>
      </c>
      <c r="F137" s="13">
        <f t="shared" si="17"/>
        <v>12.240112780256794</v>
      </c>
      <c r="G137" s="13">
        <f t="shared" ref="G137:G140" si="20">(((C137^2)*($B$16^2))/(3600*($B$15/100)))^0.3</f>
        <v>2.8481809125866793E-2</v>
      </c>
      <c r="H137" s="14">
        <f t="shared" si="18"/>
        <v>386.27149808041577</v>
      </c>
      <c r="I137" s="50">
        <f t="shared" si="19"/>
        <v>46.024047505769424</v>
      </c>
    </row>
    <row r="138" spans="1:15" x14ac:dyDescent="0.25">
      <c r="A138" s="18"/>
      <c r="B138" s="1">
        <f>B101</f>
        <v>1.8</v>
      </c>
      <c r="C138" s="1">
        <f t="shared" si="16"/>
        <v>0.108</v>
      </c>
      <c r="D138" s="14">
        <f>D106</f>
        <v>234.05774598303464</v>
      </c>
      <c r="E138" s="13">
        <f>J102</f>
        <v>0.63155213383988817</v>
      </c>
      <c r="F138" s="13">
        <f t="shared" si="17"/>
        <v>12.755837655615256</v>
      </c>
      <c r="G138" s="13">
        <f t="shared" si="20"/>
        <v>2.596566788061986E-2</v>
      </c>
      <c r="H138" s="14">
        <f t="shared" si="18"/>
        <v>429.13471651523412</v>
      </c>
      <c r="I138" s="50">
        <f t="shared" si="19"/>
        <v>48.331537725879734</v>
      </c>
    </row>
    <row r="139" spans="1:15" x14ac:dyDescent="0.25">
      <c r="A139" s="18"/>
      <c r="B139" s="1">
        <f>B112</f>
        <v>1.5</v>
      </c>
      <c r="C139" s="1">
        <f t="shared" si="16"/>
        <v>0.09</v>
      </c>
      <c r="D139" s="14">
        <f>D117</f>
        <v>310.21616086016451</v>
      </c>
      <c r="E139" s="13">
        <f>J113</f>
        <v>0.58757928565850648</v>
      </c>
      <c r="F139" s="13">
        <f t="shared" si="17"/>
        <v>13.740723229868083</v>
      </c>
      <c r="G139" s="13">
        <f t="shared" si="20"/>
        <v>2.3275056839210096E-2</v>
      </c>
      <c r="H139" s="14">
        <f t="shared" si="18"/>
        <v>505.29313139236399</v>
      </c>
      <c r="I139" s="50">
        <f t="shared" si="19"/>
        <v>49.256337247858767</v>
      </c>
    </row>
    <row r="140" spans="1:15" x14ac:dyDescent="0.25">
      <c r="A140" s="18"/>
      <c r="B140" s="1">
        <f>B123</f>
        <v>1</v>
      </c>
      <c r="C140" s="1">
        <f>B140*60/1000</f>
        <v>0.06</v>
      </c>
      <c r="D140" s="14">
        <f>D128</f>
        <v>712.54289081775528</v>
      </c>
      <c r="E140" s="13">
        <f>J124</f>
        <v>0.47188937268440528</v>
      </c>
      <c r="F140" s="13">
        <f t="shared" si="17"/>
        <v>18.023900979370769</v>
      </c>
      <c r="G140" s="13">
        <f t="shared" si="20"/>
        <v>1.8248870731109614E-2</v>
      </c>
      <c r="H140" s="14">
        <f t="shared" si="18"/>
        <v>907.61986134995482</v>
      </c>
      <c r="I140" s="1">
        <f t="shared" si="19"/>
        <v>41.133226500580697</v>
      </c>
    </row>
    <row r="141" spans="1:15" x14ac:dyDescent="0.25">
      <c r="A141" s="18"/>
    </row>
    <row r="142" spans="1:15" x14ac:dyDescent="0.25">
      <c r="A142" s="58" t="s">
        <v>60</v>
      </c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</row>
    <row r="143" spans="1:15" x14ac:dyDescent="0.25">
      <c r="B143" s="1" t="s">
        <v>70</v>
      </c>
      <c r="C143" s="1" t="s">
        <v>71</v>
      </c>
      <c r="D143" s="1" t="s">
        <v>32</v>
      </c>
      <c r="E143" s="1" t="s">
        <v>23</v>
      </c>
      <c r="F143" s="1" t="s">
        <v>33</v>
      </c>
      <c r="G143" s="1" t="s">
        <v>34</v>
      </c>
      <c r="H143" s="1" t="s">
        <v>89</v>
      </c>
      <c r="I143" s="1" t="s">
        <v>90</v>
      </c>
      <c r="J143" s="1" t="s">
        <v>92</v>
      </c>
      <c r="K143" s="1" t="s">
        <v>35</v>
      </c>
      <c r="L143" s="1"/>
      <c r="M143" s="1"/>
      <c r="N143" s="1"/>
      <c r="O143" s="1"/>
    </row>
    <row r="144" spans="1:15" x14ac:dyDescent="0.25">
      <c r="B144" s="32">
        <v>8.6199999999999992</v>
      </c>
      <c r="C144" s="14">
        <f>B144*60/1000</f>
        <v>0.51719999999999988</v>
      </c>
      <c r="D144" s="14">
        <f>D134</f>
        <v>57.314617387904718</v>
      </c>
      <c r="E144" s="13">
        <f>J54</f>
        <v>0.88602919905889488</v>
      </c>
      <c r="F144" s="13">
        <f>400/(D144^E144)</f>
        <v>11.070965805949266</v>
      </c>
      <c r="G144" s="13">
        <f>(((C144^2)*($B$16^2))/(3600*($B$15/100)))^0.3</f>
        <v>6.64569421291447E-2</v>
      </c>
      <c r="H144" s="14">
        <f>D144+$E$46</f>
        <v>252.39158792010423</v>
      </c>
      <c r="I144" s="1" t="s">
        <v>91</v>
      </c>
      <c r="J144" s="1" t="s">
        <v>91</v>
      </c>
      <c r="K144" s="1" t="s">
        <v>91</v>
      </c>
      <c r="L144" s="1"/>
      <c r="M144" s="1"/>
      <c r="N144" s="1"/>
      <c r="O144" s="1"/>
    </row>
    <row r="145" spans="1:15" x14ac:dyDescent="0.25">
      <c r="A145"/>
      <c r="B145" s="32">
        <v>5</v>
      </c>
      <c r="C145" s="14">
        <f t="shared" ref="C145:C150" si="21">B145*60/1000</f>
        <v>0.3</v>
      </c>
      <c r="D145" s="14">
        <f>D73</f>
        <v>75.612378056049181</v>
      </c>
      <c r="E145" s="13">
        <f>J69</f>
        <v>0.82848881281742759</v>
      </c>
      <c r="F145" s="13">
        <f t="shared" ref="F145:F150" si="22">400/(D145^E145)</f>
        <v>11.108790902183042</v>
      </c>
      <c r="G145" s="13">
        <f>(((C145^2)*($B$16^2))/(3600*($B$15/100)))^0.3</f>
        <v>4.793116637422952E-2</v>
      </c>
      <c r="H145" s="14">
        <f t="shared" ref="H145:H150" si="23">D145+$E$46</f>
        <v>270.68934858824866</v>
      </c>
      <c r="I145" s="1" t="s">
        <v>91</v>
      </c>
      <c r="J145" s="1" t="s">
        <v>91</v>
      </c>
      <c r="K145" s="1" t="s">
        <v>91</v>
      </c>
      <c r="L145" s="1"/>
      <c r="M145" s="1"/>
      <c r="N145" s="1"/>
      <c r="O145" s="1"/>
    </row>
    <row r="146" spans="1:15" x14ac:dyDescent="0.25">
      <c r="A146"/>
      <c r="B146" s="32">
        <v>3</v>
      </c>
      <c r="C146" s="14">
        <f t="shared" si="21"/>
        <v>0.18</v>
      </c>
      <c r="D146" s="14">
        <f>D84</f>
        <v>126.6138263625071</v>
      </c>
      <c r="E146" s="13">
        <f>J80</f>
        <v>0.732937128789937</v>
      </c>
      <c r="F146" s="13">
        <f t="shared" si="22"/>
        <v>11.509951824485789</v>
      </c>
      <c r="G146" s="13">
        <f>(((C146^2)*($B$16^2))/(3600*($B$15/100)))^0.3</f>
        <v>3.527838923766189E-2</v>
      </c>
      <c r="H146" s="14">
        <f t="shared" si="23"/>
        <v>321.69079689470664</v>
      </c>
      <c r="I146" s="1" t="s">
        <v>91</v>
      </c>
      <c r="J146" s="1" t="s">
        <v>91</v>
      </c>
      <c r="K146" s="1" t="s">
        <v>91</v>
      </c>
      <c r="L146" s="1"/>
      <c r="M146" s="1"/>
      <c r="N146" s="1"/>
      <c r="O146" s="1"/>
    </row>
    <row r="147" spans="1:15" x14ac:dyDescent="0.25">
      <c r="A147"/>
      <c r="B147" s="32">
        <v>2.1</v>
      </c>
      <c r="C147" s="14">
        <f t="shared" si="21"/>
        <v>0.126</v>
      </c>
      <c r="D147" s="14">
        <f>D95</f>
        <v>191.19452754821626</v>
      </c>
      <c r="E147" s="52">
        <f>J91</f>
        <v>0.66372599665765397</v>
      </c>
      <c r="F147" s="52">
        <f t="shared" si="22"/>
        <v>12.240112780256794</v>
      </c>
      <c r="G147" s="13">
        <f t="shared" ref="G147:G150" si="24">(((C147^2)*($B$16^2))/(3600*($B$15/100)))^0.3</f>
        <v>2.8481809125866793E-2</v>
      </c>
      <c r="H147" s="51">
        <f t="shared" si="23"/>
        <v>386.27149808041577</v>
      </c>
      <c r="I147" s="14">
        <f>E160</f>
        <v>315.31109127945609</v>
      </c>
      <c r="J147" s="1">
        <f>I147-((G147*$B$14)/(2*C147))</f>
        <v>270.10187044474691</v>
      </c>
      <c r="K147" s="1">
        <f>(($D$17*$B$14)/(C147*J147))*100</f>
        <v>65.818788105780527</v>
      </c>
      <c r="L147" s="1"/>
      <c r="M147" s="1"/>
      <c r="N147" s="1"/>
      <c r="O147" s="1"/>
    </row>
    <row r="148" spans="1:15" x14ac:dyDescent="0.25">
      <c r="A148"/>
      <c r="B148" s="32">
        <v>1.8</v>
      </c>
      <c r="C148" s="14">
        <f t="shared" si="21"/>
        <v>0.108</v>
      </c>
      <c r="D148" s="14">
        <f>D106</f>
        <v>234.05774598303464</v>
      </c>
      <c r="E148" s="52">
        <f>J102</f>
        <v>0.63155213383988817</v>
      </c>
      <c r="F148" s="52">
        <f>400/(D148^E148)</f>
        <v>12.755837655615256</v>
      </c>
      <c r="G148" s="13">
        <f t="shared" si="24"/>
        <v>2.596566788061986E-2</v>
      </c>
      <c r="H148" s="51">
        <f t="shared" si="23"/>
        <v>429.13471651523412</v>
      </c>
      <c r="I148" s="14">
        <f>E167</f>
        <v>361.0019133193789</v>
      </c>
      <c r="J148" s="1">
        <f t="shared" ref="J148:J149" si="25">I148-((G148*$B$14)/(2*C148))</f>
        <v>312.91734317008286</v>
      </c>
      <c r="K148" s="1">
        <f>(($D$17*$B$14)/(C148*J148))*100</f>
        <v>66.28185108125291</v>
      </c>
      <c r="L148" s="1"/>
      <c r="M148" s="1"/>
      <c r="N148" s="1"/>
      <c r="O148" s="1"/>
    </row>
    <row r="149" spans="1:15" x14ac:dyDescent="0.25">
      <c r="A149"/>
      <c r="B149" s="32">
        <v>1.5</v>
      </c>
      <c r="C149" s="14">
        <f t="shared" si="21"/>
        <v>0.09</v>
      </c>
      <c r="D149" s="14">
        <f>D117</f>
        <v>310.21616086016451</v>
      </c>
      <c r="E149" s="52">
        <f>J113</f>
        <v>0.58757928565850648</v>
      </c>
      <c r="F149" s="52">
        <f t="shared" si="22"/>
        <v>13.740723229868083</v>
      </c>
      <c r="G149" s="13">
        <f t="shared" si="24"/>
        <v>2.3275056839210096E-2</v>
      </c>
      <c r="H149" s="51">
        <f t="shared" si="23"/>
        <v>505.29313139236399</v>
      </c>
      <c r="I149" s="14">
        <f>E174</f>
        <v>441.59093397594756</v>
      </c>
      <c r="J149" s="1">
        <f t="shared" si="25"/>
        <v>389.86858544436956</v>
      </c>
      <c r="K149" s="1">
        <f t="shared" ref="K149" si="26">(($D$17*$B$14)/(C149*J149))*100</f>
        <v>63.839175091577857</v>
      </c>
      <c r="L149" s="1"/>
      <c r="M149" s="1"/>
      <c r="N149" s="1"/>
      <c r="O149" s="1"/>
    </row>
    <row r="150" spans="1:15" x14ac:dyDescent="0.25">
      <c r="A150" s="18"/>
      <c r="B150" s="32">
        <v>1</v>
      </c>
      <c r="C150" s="14">
        <f t="shared" si="21"/>
        <v>0.06</v>
      </c>
      <c r="D150" s="14">
        <f>D128</f>
        <v>712.54289081775528</v>
      </c>
      <c r="E150" s="13">
        <f>J124</f>
        <v>0.47188937268440528</v>
      </c>
      <c r="F150" s="13">
        <f t="shared" si="22"/>
        <v>18.023900979370769</v>
      </c>
      <c r="G150" s="13">
        <f t="shared" si="24"/>
        <v>1.8248870731109614E-2</v>
      </c>
      <c r="H150" s="14">
        <f t="shared" si="23"/>
        <v>907.61986134995482</v>
      </c>
      <c r="I150" s="1" t="s">
        <v>91</v>
      </c>
      <c r="J150" s="1" t="s">
        <v>91</v>
      </c>
      <c r="K150" s="1" t="s">
        <v>91</v>
      </c>
      <c r="L150" s="1"/>
      <c r="M150" s="1"/>
      <c r="N150" s="1"/>
      <c r="O150" s="1"/>
    </row>
    <row r="151" spans="1:15" x14ac:dyDescent="0.25">
      <c r="A151" s="18"/>
      <c r="B151" s="32"/>
      <c r="C151" s="14"/>
      <c r="D151" s="14"/>
      <c r="E151" s="13"/>
      <c r="F151" s="13"/>
      <c r="G151" s="13"/>
      <c r="H151" s="14"/>
      <c r="I151" s="1"/>
      <c r="K151" s="1"/>
      <c r="L151" s="1"/>
      <c r="M151" s="1"/>
      <c r="N151" s="1"/>
      <c r="O151" s="1"/>
    </row>
    <row r="152" spans="1:15" x14ac:dyDescent="0.25">
      <c r="A152" s="18"/>
      <c r="B152" s="32"/>
      <c r="C152" s="14"/>
      <c r="D152" s="14"/>
      <c r="E152" s="13"/>
      <c r="F152" s="13"/>
      <c r="G152" s="13"/>
      <c r="H152" s="14"/>
      <c r="I152" s="1"/>
      <c r="K152" s="1"/>
      <c r="L152" s="1"/>
      <c r="M152" s="1"/>
      <c r="N152" s="1"/>
      <c r="O152" s="1"/>
    </row>
    <row r="153" spans="1:15" x14ac:dyDescent="0.25">
      <c r="A153" s="18"/>
    </row>
    <row r="154" spans="1:15" x14ac:dyDescent="0.25">
      <c r="A154" s="58" t="s">
        <v>128</v>
      </c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</row>
    <row r="155" spans="1:15" x14ac:dyDescent="0.25">
      <c r="A155" s="3" t="s">
        <v>71</v>
      </c>
      <c r="B155" s="46" t="s">
        <v>81</v>
      </c>
      <c r="C155" s="16" t="s">
        <v>73</v>
      </c>
      <c r="D155" s="16" t="s">
        <v>74</v>
      </c>
      <c r="E155" s="16" t="s">
        <v>77</v>
      </c>
      <c r="F155" s="39"/>
      <c r="G155" s="12"/>
      <c r="H155" s="12"/>
      <c r="I155" s="12"/>
      <c r="J155" s="12"/>
      <c r="K155" s="12"/>
      <c r="L155" s="12"/>
      <c r="M155" s="12"/>
      <c r="N155" s="12"/>
    </row>
    <row r="156" spans="1:15" x14ac:dyDescent="0.25">
      <c r="A156" s="53">
        <f>C137</f>
        <v>0.126</v>
      </c>
      <c r="B156" s="16" t="s">
        <v>80</v>
      </c>
      <c r="C156" s="16" t="s">
        <v>72</v>
      </c>
      <c r="D156" s="16" t="s">
        <v>75</v>
      </c>
      <c r="E156" s="16" t="s">
        <v>78</v>
      </c>
      <c r="F156" s="16" t="s">
        <v>79</v>
      </c>
      <c r="G156" s="12"/>
      <c r="H156" s="12"/>
      <c r="I156" s="12"/>
      <c r="J156" s="12"/>
      <c r="K156" s="12"/>
      <c r="L156" s="12"/>
      <c r="M156" s="12"/>
      <c r="N156" s="12"/>
    </row>
    <row r="157" spans="1:15" x14ac:dyDescent="0.25">
      <c r="A157" s="53"/>
      <c r="B157" s="19">
        <f>H147</f>
        <v>386.27149808041577</v>
      </c>
      <c r="C157" s="47">
        <f>0.5*$B$10*$B$8*(B157^($B$10-1)+(B157-D147)^($B$10-1))+$B$12</f>
        <v>1.7097550464161804E-4</v>
      </c>
      <c r="D157" s="47">
        <f>((((C147-C157*$B$14)*$B$16)/(60*($D$15^0.5)))^0.6)*($B$14^-1)</f>
        <v>4.4522861144562036E-5</v>
      </c>
      <c r="E157" s="47">
        <f>$B$157-((0.095*($B$16^0.47565)*(D157^0.2072)*($B$14^0.6829))/((C157^0.5243)*($D$15^0.2378)))</f>
        <v>311.00540406242123</v>
      </c>
      <c r="F157" s="47">
        <f t="shared" ref="F157" si="27">B157-E157</f>
        <v>75.266094017994533</v>
      </c>
      <c r="G157" s="12"/>
      <c r="H157" s="12"/>
      <c r="I157" s="12"/>
      <c r="J157" s="12"/>
      <c r="K157" s="12"/>
      <c r="L157" s="12"/>
      <c r="M157" s="12"/>
      <c r="N157" s="12"/>
    </row>
    <row r="158" spans="1:15" x14ac:dyDescent="0.25">
      <c r="A158" s="53"/>
      <c r="B158" s="19">
        <f>E157</f>
        <v>311.00540406242123</v>
      </c>
      <c r="C158" s="47">
        <f>0.5*$B$10*$B$8*(B158^($B$10-1)+(B158-$D$147)^($B$10-1))+$B$12</f>
        <v>1.8757253727035977E-4</v>
      </c>
      <c r="D158" s="47">
        <f>(((($C$147-C158*$B$14)*$B$16)/(60*($D$15^0.5)))^0.6)*($B$14^-1)</f>
        <v>4.1369385456130051E-5</v>
      </c>
      <c r="E158" s="47">
        <f>$B$157-((0.095*($B$16^0.47565)*(D158^0.2072)*($B$14^0.6829))/((C158^0.5243)*($D$15^0.2378)))</f>
        <v>315.65706577128526</v>
      </c>
      <c r="F158" s="47">
        <f t="shared" ref="F158:F159" si="28">B158-E158</f>
        <v>-4.651661708864026</v>
      </c>
      <c r="G158" s="12"/>
      <c r="H158" s="12"/>
      <c r="I158" s="12"/>
      <c r="J158" s="12"/>
      <c r="K158" s="12"/>
      <c r="L158" s="12"/>
      <c r="M158" s="12"/>
      <c r="N158" s="12"/>
    </row>
    <row r="159" spans="1:15" x14ac:dyDescent="0.25">
      <c r="A159" s="53"/>
      <c r="B159" s="19">
        <f>E158</f>
        <v>315.65706577128526</v>
      </c>
      <c r="C159" s="47">
        <f>0.5*$B$10*$B$8*(B159^($B$10-1)+(B159-$D$147)^($B$10-1))+$B$12</f>
        <v>1.8616720699516997E-4</v>
      </c>
      <c r="D159" s="47">
        <f>(((($C$147-C159*$B$14)*$B$16)/(60*($D$15^0.5)))^0.6)*($B$14^-1)</f>
        <v>4.1642529425316892E-5</v>
      </c>
      <c r="E159" s="47">
        <f>$B$157-((0.095*($B$16^0.47565)*(D159^0.2072)*($B$14^0.6829))/((C159^0.5243)*($D$15^0.2378)))</f>
        <v>315.28135415462248</v>
      </c>
      <c r="F159" s="47">
        <f t="shared" si="28"/>
        <v>0.37571161666278385</v>
      </c>
      <c r="G159" s="12"/>
      <c r="H159" s="12"/>
      <c r="I159" s="12"/>
      <c r="J159" s="12"/>
      <c r="K159" s="12"/>
      <c r="L159" s="12"/>
      <c r="M159" s="12"/>
      <c r="N159" s="12"/>
    </row>
    <row r="160" spans="1:15" x14ac:dyDescent="0.25">
      <c r="A160" s="53"/>
      <c r="B160" s="19">
        <f>E159</f>
        <v>315.28135415462248</v>
      </c>
      <c r="C160" s="47">
        <f>0.5*$B$10*$B$8*(B160^($B$10-1)+(B160-$D$147)^($B$10-1))+$B$12</f>
        <v>1.8627802344228488E-4</v>
      </c>
      <c r="D160" s="47">
        <f>(((($C$147-C160*$B$14)*$B$16)/(60*($D$15^0.5)))^0.6)*($B$14^-1)</f>
        <v>4.1621034255148726E-5</v>
      </c>
      <c r="E160" s="49">
        <f>$B$157-((0.095*($B$16^0.47565)*(D160^0.2072)*($B$14^0.6829))/((C160^0.5243)*($D$15^0.2378)))</f>
        <v>315.31109127945609</v>
      </c>
      <c r="F160" s="48">
        <f t="shared" ref="F160" si="29">B160-E160</f>
        <v>-2.9737124833616235E-2</v>
      </c>
      <c r="G160" s="12"/>
      <c r="H160" s="12"/>
      <c r="I160" s="12"/>
      <c r="J160" s="12"/>
      <c r="K160" s="12"/>
      <c r="L160" s="12"/>
      <c r="M160" s="12"/>
      <c r="N160" s="12"/>
    </row>
    <row r="161" spans="1:14" x14ac:dyDescent="0.25">
      <c r="A161" s="45"/>
      <c r="B161" s="13"/>
      <c r="C161" s="28"/>
      <c r="D161" s="28"/>
      <c r="E161" s="28"/>
      <c r="F161" s="29"/>
      <c r="G161" s="26"/>
      <c r="H161" s="26"/>
      <c r="I161" s="26"/>
      <c r="J161" s="26"/>
      <c r="K161" s="26"/>
      <c r="L161" s="26"/>
      <c r="M161" s="26"/>
      <c r="N161" s="26"/>
    </row>
    <row r="162" spans="1:14" x14ac:dyDescent="0.25">
      <c r="A162" s="46" t="s">
        <v>71</v>
      </c>
      <c r="B162" s="46" t="s">
        <v>81</v>
      </c>
      <c r="C162" s="16" t="s">
        <v>73</v>
      </c>
      <c r="D162" s="16" t="s">
        <v>74</v>
      </c>
      <c r="E162" s="16" t="s">
        <v>77</v>
      </c>
      <c r="F162" s="39"/>
      <c r="G162" s="26"/>
      <c r="H162" s="26"/>
      <c r="I162" s="26"/>
      <c r="J162" s="26"/>
      <c r="K162" s="26"/>
      <c r="L162" s="26"/>
      <c r="M162" s="26"/>
      <c r="N162" s="26"/>
    </row>
    <row r="163" spans="1:14" x14ac:dyDescent="0.25">
      <c r="A163" s="53">
        <f>C138</f>
        <v>0.108</v>
      </c>
      <c r="B163" s="16" t="s">
        <v>80</v>
      </c>
      <c r="C163" s="16" t="s">
        <v>72</v>
      </c>
      <c r="D163" s="16" t="s">
        <v>75</v>
      </c>
      <c r="E163" s="16" t="s">
        <v>78</v>
      </c>
      <c r="F163" s="16" t="s">
        <v>79</v>
      </c>
      <c r="G163" s="26"/>
      <c r="H163" s="26"/>
      <c r="I163" s="26"/>
      <c r="J163" s="26"/>
      <c r="K163" s="26"/>
      <c r="L163" s="26"/>
      <c r="M163" s="26"/>
      <c r="N163" s="26"/>
    </row>
    <row r="164" spans="1:14" x14ac:dyDescent="0.25">
      <c r="A164" s="53"/>
      <c r="B164" s="19">
        <f>H148</f>
        <v>429.13471651523412</v>
      </c>
      <c r="C164" s="47">
        <f>0.5*$B$10*$B$8*(B164^($B$10-1)+(B164-$D$148)^($B$10-1))+$B$12</f>
        <v>1.6935045265014227E-4</v>
      </c>
      <c r="D164" s="47">
        <f>(((($C$148-C164*$B$14)*$B$16)/(60*($D$15^0.5)))^0.6)*($B$14^-1)</f>
        <v>3.5909416123548432E-5</v>
      </c>
      <c r="E164" s="47">
        <f>$B$164-((0.095*($B$16^0.47565)*(D164^0.2072)*($B$14^0.6829))/((C164^0.5243)*($D$15^0.2378)))</f>
        <v>356.78669025217005</v>
      </c>
      <c r="F164" s="47">
        <f t="shared" ref="F164" si="30">B164-E164</f>
        <v>72.348026263064071</v>
      </c>
      <c r="G164" s="26"/>
      <c r="H164" s="26"/>
      <c r="I164" s="26"/>
      <c r="J164" s="26"/>
      <c r="K164" s="26"/>
      <c r="L164" s="26"/>
      <c r="M164" s="26"/>
      <c r="N164" s="26"/>
    </row>
    <row r="165" spans="1:14" x14ac:dyDescent="0.25">
      <c r="A165" s="53"/>
      <c r="B165" s="19">
        <f>E164</f>
        <v>356.78669025217005</v>
      </c>
      <c r="C165" s="47">
        <f>0.5*$B$10*$B$8*(B165^($B$10-1)+(B165-$D$148)^($B$10-1))+$B$12</f>
        <v>1.8448075585948947E-4</v>
      </c>
      <c r="D165" s="47">
        <f>(((($C$148-C165*$B$14)*$B$16)/(60*($D$15^0.5)))^0.6)*($B$14^-1)</f>
        <v>3.2565635699578465E-5</v>
      </c>
      <c r="E165" s="47">
        <f>$B$164-((0.095*($B$16^0.47565)*(D165^0.2072)*($B$14^0.6829))/((C165^0.5243)*($D$15^0.2378)))</f>
        <v>361.34780557972334</v>
      </c>
      <c r="F165" s="47">
        <f t="shared" ref="F165:F167" si="31">B165-E165</f>
        <v>-4.5611153275532956</v>
      </c>
      <c r="G165" s="26"/>
      <c r="H165" s="26"/>
      <c r="I165" s="26"/>
      <c r="J165" s="26"/>
      <c r="K165" s="26"/>
      <c r="L165" s="26"/>
      <c r="M165" s="26"/>
      <c r="N165" s="26"/>
    </row>
    <row r="166" spans="1:14" x14ac:dyDescent="0.25">
      <c r="A166" s="53"/>
      <c r="B166" s="19">
        <f>E165</f>
        <v>361.34780557972334</v>
      </c>
      <c r="C166" s="47">
        <f>0.5*$B$10*$B$8*(B166^($B$10-1)+(B166-$D$148)^($B$10-1))+$B$12</f>
        <v>1.8319180967049108E-4</v>
      </c>
      <c r="D166" s="47">
        <f>(((($C$148-C166*$B$14)*$B$16)/(60*($D$15^0.5)))^0.6)*($B$14^-1)</f>
        <v>3.2859251743065065E-5</v>
      </c>
      <c r="E166" s="47">
        <f>$B$164-((0.095*($B$16^0.47565)*(D166^0.2072)*($B$14^0.6829))/((C166^0.5243)*($D$15^0.2378)))</f>
        <v>360.97150659971504</v>
      </c>
      <c r="F166" s="47">
        <f t="shared" si="31"/>
        <v>0.37629898000830053</v>
      </c>
      <c r="G166" s="26"/>
      <c r="H166" s="26"/>
      <c r="I166" s="26"/>
      <c r="J166" s="26"/>
      <c r="K166" s="26"/>
      <c r="L166" s="26"/>
      <c r="M166" s="26"/>
      <c r="N166" s="26"/>
    </row>
    <row r="167" spans="1:14" x14ac:dyDescent="0.25">
      <c r="A167" s="53"/>
      <c r="B167" s="19">
        <f>E166</f>
        <v>360.97150659971504</v>
      </c>
      <c r="C167" s="47">
        <f>0.5*$B$10*$B$8*(B167^($B$10-1)+(B167-$D$148)^($B$10-1))+$B$12</f>
        <v>1.8329571419757346E-4</v>
      </c>
      <c r="D167" s="47">
        <f>(((($C$148-C167*$B$14)*$B$16)/(60*($D$15^0.5)))^0.6)*($B$14^-1)</f>
        <v>3.2835647683699343E-5</v>
      </c>
      <c r="E167" s="49">
        <f>$B$164-((0.095*($B$16^0.47565)*(D167^0.2072)*($B$14^0.6829))/((C167^0.5243)*($D$15^0.2378)))</f>
        <v>361.0019133193789</v>
      </c>
      <c r="F167" s="47">
        <f t="shared" si="31"/>
        <v>-3.0406719663858439E-2</v>
      </c>
      <c r="G167" s="26"/>
      <c r="H167" s="26"/>
      <c r="I167" s="26"/>
      <c r="J167" s="26"/>
      <c r="K167" s="26"/>
      <c r="L167" s="26"/>
      <c r="M167" s="26"/>
      <c r="N167" s="26"/>
    </row>
    <row r="168" spans="1:14" x14ac:dyDescent="0.25">
      <c r="A168" s="27"/>
    </row>
    <row r="169" spans="1:14" x14ac:dyDescent="0.25">
      <c r="A169" s="46" t="s">
        <v>71</v>
      </c>
      <c r="B169" s="46" t="s">
        <v>81</v>
      </c>
      <c r="C169" s="16" t="s">
        <v>73</v>
      </c>
      <c r="D169" s="16" t="s">
        <v>74</v>
      </c>
      <c r="E169" s="16" t="s">
        <v>77</v>
      </c>
      <c r="F169" s="39"/>
    </row>
    <row r="170" spans="1:14" x14ac:dyDescent="0.25">
      <c r="A170" s="53">
        <f>C139</f>
        <v>0.09</v>
      </c>
      <c r="B170" s="16" t="s">
        <v>80</v>
      </c>
      <c r="C170" s="16" t="s">
        <v>72</v>
      </c>
      <c r="D170" s="16" t="s">
        <v>75</v>
      </c>
      <c r="E170" s="16" t="s">
        <v>78</v>
      </c>
      <c r="F170" s="16" t="s">
        <v>79</v>
      </c>
    </row>
    <row r="171" spans="1:14" x14ac:dyDescent="0.25">
      <c r="A171" s="53"/>
      <c r="B171" s="19">
        <f>H149</f>
        <v>505.29313139236399</v>
      </c>
      <c r="C171" s="47">
        <f>0.5*$B$10*$B$8*(B171^($B$10-1)+(B171-$D$149)^($B$10-1))+$B$12</f>
        <v>1.6700676868793051E-4</v>
      </c>
      <c r="D171" s="47">
        <f>(((($C$149-C171*$B$14)*$B$16)/(60*($D$15^0.5)))^0.6)*($B$14^-1)</f>
        <v>2.579571872109779E-5</v>
      </c>
      <c r="E171" s="47">
        <f>$B$171-((0.095*($B$16^0.47565)*(D171^0.2072)*($B$14^0.6829))/((C171^0.5243)*($D$15^0.2378)))</f>
        <v>437.24230505973537</v>
      </c>
      <c r="F171" s="47">
        <f t="shared" ref="F171" si="32">B171-E171</f>
        <v>68.050826332628617</v>
      </c>
    </row>
    <row r="172" spans="1:14" x14ac:dyDescent="0.25">
      <c r="A172" s="53"/>
      <c r="B172" s="19">
        <f>E171</f>
        <v>437.24230505973537</v>
      </c>
      <c r="C172" s="47">
        <f>0.5*$B$10*$B$8*(B172^($B$10-1)+(B172-$D$149)^($B$10-1))+$B$12</f>
        <v>1.8026841618315166E-4</v>
      </c>
      <c r="D172" s="47">
        <f>(((($C$149-C172*$B$14)*$B$16)/(60*($D$15^0.5)))^0.6)*($B$14^-1)</f>
        <v>2.2074446021842543E-5</v>
      </c>
      <c r="E172" s="47">
        <f>$B$171-((0.095*($B$16^0.47565)*(D172^0.2072)*($B$14^0.6829))/((C172^0.5243)*($D$15^0.2378)))</f>
        <v>441.99141166797619</v>
      </c>
      <c r="F172" s="47">
        <f t="shared" ref="F172:F174" si="33">B172-E172</f>
        <v>-4.7491066082408224</v>
      </c>
    </row>
    <row r="173" spans="1:14" x14ac:dyDescent="0.25">
      <c r="A173" s="53"/>
      <c r="B173" s="19">
        <f>E172</f>
        <v>441.99141166797619</v>
      </c>
      <c r="C173" s="47">
        <f>0.5*$B$10*$B$8*(B173^($B$10-1)+(B173-$D$149)^($B$10-1))+$B$12</f>
        <v>1.7904379657872284E-4</v>
      </c>
      <c r="D173" s="47">
        <f>(((($C$149-C173*$B$14)*$B$16)/(60*($D$15^0.5)))^0.6)*($B$14^-1)</f>
        <v>2.2435085755824996E-5</v>
      </c>
      <c r="E173" s="47">
        <f>$B$171-((0.095*($B$16^0.47565)*(D173^0.2072)*($B$14^0.6829))/((C173^0.5243)*($D$15^0.2378)))</f>
        <v>441.5511021753266</v>
      </c>
      <c r="F173" s="47">
        <f t="shared" si="33"/>
        <v>0.44030949264958963</v>
      </c>
    </row>
    <row r="174" spans="1:14" x14ac:dyDescent="0.25">
      <c r="A174" s="53"/>
      <c r="B174" s="19">
        <f>E173</f>
        <v>441.5511021753266</v>
      </c>
      <c r="C174" s="47">
        <f>0.5*$B$10*$B$8*(B174^($B$10-1)+(B174-$D$149)^($B$10-1))+$B$12</f>
        <v>1.7915470843152639E-4</v>
      </c>
      <c r="D174" s="47">
        <f>(((($C$149-C174*$B$14)*$B$16)/(60*($D$15^0.5)))^0.6)*($B$14^-1)</f>
        <v>2.2402582818180605E-5</v>
      </c>
      <c r="E174" s="49">
        <f>$B$171-((0.095*($B$16^0.47565)*(D174^0.2072)*($B$14^0.6829))/((C174^0.5243)*($D$15^0.2378)))</f>
        <v>441.59093397594756</v>
      </c>
      <c r="F174" s="47">
        <f t="shared" si="33"/>
        <v>-3.9831800620959257E-2</v>
      </c>
    </row>
    <row r="176" spans="1:14" x14ac:dyDescent="0.25">
      <c r="A176" s="58" t="s">
        <v>100</v>
      </c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</row>
    <row r="178" spans="1:17" x14ac:dyDescent="0.25">
      <c r="B178" s="61" t="s">
        <v>102</v>
      </c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</row>
    <row r="179" spans="1:17" x14ac:dyDescent="0.25">
      <c r="B179" s="30" t="s">
        <v>93</v>
      </c>
      <c r="C179" s="30" t="s">
        <v>32</v>
      </c>
      <c r="D179" s="30" t="s">
        <v>89</v>
      </c>
      <c r="E179" s="30" t="s">
        <v>94</v>
      </c>
      <c r="F179" s="30" t="s">
        <v>95</v>
      </c>
      <c r="G179" s="30"/>
      <c r="N179" s="40" t="s">
        <v>105</v>
      </c>
      <c r="O179" s="5">
        <f>J147+30</f>
        <v>300.10187044474691</v>
      </c>
      <c r="P179" s="39" t="s">
        <v>106</v>
      </c>
    </row>
    <row r="180" spans="1:17" x14ac:dyDescent="0.25">
      <c r="B180" s="2">
        <v>0</v>
      </c>
      <c r="C180" s="34">
        <f>(B180/$F$148)^(1/$E$148)</f>
        <v>0</v>
      </c>
      <c r="D180" s="38">
        <f>$I$147+((($H$147-$I$147)/$B$14)*B180)</f>
        <v>315.31109127945609</v>
      </c>
      <c r="E180" s="38">
        <f>D180-C180</f>
        <v>315.31109127945609</v>
      </c>
      <c r="F180" s="37">
        <f>$B$8*(E180^$B$10)+$B$12*E180</f>
        <v>7.6811647148366968E-2</v>
      </c>
      <c r="G180" s="19">
        <f>F180</f>
        <v>7.6811647148366968E-2</v>
      </c>
      <c r="H180" t="s">
        <v>97</v>
      </c>
      <c r="M180" s="33"/>
      <c r="N180" s="40" t="s">
        <v>105</v>
      </c>
      <c r="O180" s="5">
        <f>O179/60</f>
        <v>5.0016978407457815</v>
      </c>
      <c r="P180" s="39" t="s">
        <v>107</v>
      </c>
    </row>
    <row r="181" spans="1:17" x14ac:dyDescent="0.25">
      <c r="B181" s="2">
        <f>B180+40</f>
        <v>40</v>
      </c>
      <c r="C181" s="34">
        <f>(B181/$F$147)^(1/$E$147)</f>
        <v>5.9542852344564565</v>
      </c>
      <c r="D181" s="38">
        <f t="shared" ref="D180:D190" si="34">$I$147+((($H$147-$I$147)/$B$14)*B181)</f>
        <v>322.40713195955209</v>
      </c>
      <c r="E181" s="38">
        <f t="shared" ref="E181:E190" si="35">D181-C181</f>
        <v>316.45284672509564</v>
      </c>
      <c r="F181" s="37">
        <f t="shared" ref="F181:F190" si="36">$B$8*(E181^$B$10)+$B$12*E181</f>
        <v>7.6999532633998349E-2</v>
      </c>
      <c r="G181" s="19">
        <f>F181*2</f>
        <v>0.1539990652679967</v>
      </c>
      <c r="N181" s="40" t="s">
        <v>105</v>
      </c>
      <c r="O181" s="5">
        <v>5</v>
      </c>
      <c r="P181" s="39" t="s">
        <v>107</v>
      </c>
    </row>
    <row r="182" spans="1:17" x14ac:dyDescent="0.25">
      <c r="B182" s="2">
        <f t="shared" ref="B182:B190" si="37">B181+40</f>
        <v>80</v>
      </c>
      <c r="C182" s="34">
        <f t="shared" ref="C182:C190" si="38">(B182/$F$147)^(1/$E$147)</f>
        <v>16.919020655411316</v>
      </c>
      <c r="D182" s="38">
        <f t="shared" si="34"/>
        <v>329.50317263964803</v>
      </c>
      <c r="E182" s="38">
        <f t="shared" si="35"/>
        <v>312.58415198423671</v>
      </c>
      <c r="F182" s="37">
        <f t="shared" si="36"/>
        <v>7.6362310147906037E-2</v>
      </c>
      <c r="G182" s="19">
        <f t="shared" ref="G182:G189" si="39">F182*2</f>
        <v>0.15272462029581207</v>
      </c>
      <c r="N182" s="2"/>
      <c r="O182" s="2"/>
      <c r="P182" s="39"/>
    </row>
    <row r="183" spans="1:17" x14ac:dyDescent="0.25">
      <c r="B183" s="2">
        <f t="shared" si="37"/>
        <v>120</v>
      </c>
      <c r="C183" s="34">
        <f t="shared" si="38"/>
        <v>31.166094302329821</v>
      </c>
      <c r="D183" s="38">
        <f t="shared" si="34"/>
        <v>336.59921331974397</v>
      </c>
      <c r="E183" s="38">
        <f t="shared" si="35"/>
        <v>305.43311901741413</v>
      </c>
      <c r="F183" s="37">
        <f t="shared" si="36"/>
        <v>7.5179918845204668E-2</v>
      </c>
      <c r="G183" s="19">
        <f t="shared" si="39"/>
        <v>0.15035983769040934</v>
      </c>
      <c r="N183" s="40" t="s">
        <v>108</v>
      </c>
      <c r="O183" s="2">
        <v>12</v>
      </c>
      <c r="P183" s="39" t="s">
        <v>107</v>
      </c>
      <c r="Q183" t="s">
        <v>109</v>
      </c>
    </row>
    <row r="184" spans="1:17" x14ac:dyDescent="0.25">
      <c r="B184" s="2">
        <f t="shared" si="37"/>
        <v>160</v>
      </c>
      <c r="C184" s="34">
        <f t="shared" si="38"/>
        <v>48.075167491428637</v>
      </c>
      <c r="D184" s="38">
        <f t="shared" si="34"/>
        <v>343.69525399983996</v>
      </c>
      <c r="E184" s="38">
        <f t="shared" si="35"/>
        <v>295.6200865084113</v>
      </c>
      <c r="F184" s="37">
        <f t="shared" si="36"/>
        <v>7.3547473891683174E-2</v>
      </c>
      <c r="G184" s="19">
        <f t="shared" si="39"/>
        <v>0.14709494778336635</v>
      </c>
      <c r="N184" s="2"/>
      <c r="O184" s="2"/>
      <c r="P184" s="39"/>
    </row>
    <row r="185" spans="1:17" x14ac:dyDescent="0.25">
      <c r="B185" s="2">
        <f t="shared" si="37"/>
        <v>200</v>
      </c>
      <c r="C185" s="34">
        <f t="shared" si="38"/>
        <v>67.286799601199831</v>
      </c>
      <c r="D185" s="38">
        <f t="shared" si="34"/>
        <v>350.79129467993596</v>
      </c>
      <c r="E185" s="38">
        <f t="shared" si="35"/>
        <v>283.50449507873611</v>
      </c>
      <c r="F185" s="37">
        <f t="shared" si="36"/>
        <v>7.1515364919629315E-2</v>
      </c>
      <c r="G185" s="19">
        <f t="shared" si="39"/>
        <v>0.14303072983925863</v>
      </c>
      <c r="N185" s="40" t="s">
        <v>110</v>
      </c>
      <c r="O185" s="2">
        <f>O183/O181</f>
        <v>2.4</v>
      </c>
      <c r="P185" s="39" t="s">
        <v>111</v>
      </c>
    </row>
    <row r="186" spans="1:17" x14ac:dyDescent="0.25">
      <c r="B186" s="2">
        <f t="shared" si="37"/>
        <v>240</v>
      </c>
      <c r="C186" s="34">
        <f t="shared" si="38"/>
        <v>88.558033833888032</v>
      </c>
      <c r="D186" s="38">
        <f t="shared" si="34"/>
        <v>357.8873353600319</v>
      </c>
      <c r="E186" s="38">
        <f t="shared" si="35"/>
        <v>269.32930152614387</v>
      </c>
      <c r="F186" s="37">
        <f t="shared" si="36"/>
        <v>6.9112926636632849E-2</v>
      </c>
      <c r="G186" s="19">
        <f t="shared" si="39"/>
        <v>0.1382258532732657</v>
      </c>
      <c r="N186" s="40" t="s">
        <v>110</v>
      </c>
      <c r="O186" s="2">
        <v>2</v>
      </c>
      <c r="P186" s="39" t="s">
        <v>111</v>
      </c>
    </row>
    <row r="187" spans="1:17" x14ac:dyDescent="0.25">
      <c r="B187" s="2">
        <f t="shared" si="37"/>
        <v>280</v>
      </c>
      <c r="C187" s="34">
        <f t="shared" si="38"/>
        <v>111.71026104641088</v>
      </c>
      <c r="D187" s="38">
        <f t="shared" si="34"/>
        <v>364.98337604012784</v>
      </c>
      <c r="E187" s="38">
        <f t="shared" si="35"/>
        <v>253.27311499371694</v>
      </c>
      <c r="F187" s="37">
        <f t="shared" si="36"/>
        <v>6.6356602127200431E-2</v>
      </c>
      <c r="G187" s="19">
        <f t="shared" si="39"/>
        <v>0.13271320425440086</v>
      </c>
      <c r="N187" s="2"/>
      <c r="O187" s="2"/>
      <c r="P187" s="39"/>
    </row>
    <row r="188" spans="1:17" x14ac:dyDescent="0.25">
      <c r="B188" s="2">
        <f t="shared" si="37"/>
        <v>320</v>
      </c>
      <c r="C188" s="34">
        <f t="shared" si="38"/>
        <v>136.60493573484146</v>
      </c>
      <c r="D188" s="38">
        <f t="shared" si="34"/>
        <v>372.07941672022383</v>
      </c>
      <c r="E188" s="38">
        <f t="shared" si="35"/>
        <v>235.47448098538237</v>
      </c>
      <c r="F188" s="37">
        <f t="shared" si="36"/>
        <v>6.3253220496940293E-2</v>
      </c>
      <c r="G188" s="19">
        <f t="shared" si="39"/>
        <v>0.12650644099388059</v>
      </c>
      <c r="N188" s="40" t="s">
        <v>112</v>
      </c>
      <c r="O188" s="2">
        <f>($B$14*$B$13)/(O186*1)</f>
        <v>80000</v>
      </c>
      <c r="P188" s="39" t="s">
        <v>113</v>
      </c>
    </row>
    <row r="189" spans="1:17" x14ac:dyDescent="0.25">
      <c r="B189" s="2">
        <f t="shared" si="37"/>
        <v>360</v>
      </c>
      <c r="C189" s="34">
        <f t="shared" si="38"/>
        <v>163.13048431754936</v>
      </c>
      <c r="D189" s="38">
        <f t="shared" si="34"/>
        <v>379.17545740031983</v>
      </c>
      <c r="E189" s="38">
        <f t="shared" si="35"/>
        <v>216.04497308277047</v>
      </c>
      <c r="F189" s="37">
        <f t="shared" si="36"/>
        <v>5.9801016821789205E-2</v>
      </c>
      <c r="G189" s="19">
        <f t="shared" si="39"/>
        <v>0.11960203364357841</v>
      </c>
      <c r="N189" s="40" t="s">
        <v>112</v>
      </c>
      <c r="O189" s="2">
        <f>O188/10000</f>
        <v>8</v>
      </c>
      <c r="P189" s="39" t="s">
        <v>114</v>
      </c>
    </row>
    <row r="190" spans="1:17" x14ac:dyDescent="0.25">
      <c r="A190"/>
      <c r="B190" s="2">
        <f t="shared" si="37"/>
        <v>400</v>
      </c>
      <c r="C190" s="34">
        <f t="shared" si="38"/>
        <v>191.19452754821634</v>
      </c>
      <c r="D190" s="38">
        <f t="shared" si="34"/>
        <v>386.27149808041577</v>
      </c>
      <c r="E190" s="38">
        <f t="shared" si="35"/>
        <v>195.07697053219943</v>
      </c>
      <c r="F190" s="37">
        <f t="shared" si="36"/>
        <v>5.5989107288858087E-2</v>
      </c>
      <c r="G190" s="19">
        <f>F190</f>
        <v>5.5989107288858087E-2</v>
      </c>
      <c r="H190" t="s">
        <v>98</v>
      </c>
      <c r="M190" s="33"/>
      <c r="N190" s="2"/>
      <c r="O190" s="2"/>
      <c r="P190" s="39"/>
    </row>
    <row r="191" spans="1:17" x14ac:dyDescent="0.25">
      <c r="A191" s="35" t="s">
        <v>96</v>
      </c>
      <c r="B191" s="1">
        <v>10</v>
      </c>
      <c r="D191" s="1"/>
      <c r="F191" s="35" t="s">
        <v>99</v>
      </c>
      <c r="G191" s="13">
        <f>SUM(G180:G190)</f>
        <v>1.3970574874791934</v>
      </c>
      <c r="N191" s="40" t="s">
        <v>115</v>
      </c>
      <c r="O191" s="2">
        <v>200</v>
      </c>
      <c r="P191" s="39" t="s">
        <v>3</v>
      </c>
    </row>
    <row r="192" spans="1:17" x14ac:dyDescent="0.25">
      <c r="D192" s="1"/>
      <c r="F192" s="36" t="s">
        <v>101</v>
      </c>
      <c r="G192" s="38">
        <f>$B$14*(G191/(2*B191))</f>
        <v>27.941149749583872</v>
      </c>
      <c r="N192" s="40" t="s">
        <v>117</v>
      </c>
      <c r="O192" s="2">
        <v>4</v>
      </c>
      <c r="P192" s="39" t="s">
        <v>118</v>
      </c>
    </row>
    <row r="193" spans="2:16" x14ac:dyDescent="0.25">
      <c r="C193" s="31"/>
      <c r="D193" s="1"/>
      <c r="F193" s="36" t="s">
        <v>36</v>
      </c>
      <c r="G193" s="38">
        <f>((G192-$D$17*$B$14)/(C147*J147))*100</f>
        <v>16.281775054922299</v>
      </c>
      <c r="N193" s="2"/>
      <c r="O193" s="2"/>
      <c r="P193" s="39"/>
    </row>
    <row r="194" spans="2:16" x14ac:dyDescent="0.25">
      <c r="F194" s="36" t="s">
        <v>37</v>
      </c>
      <c r="G194" s="38">
        <f>100-K147-G193</f>
        <v>17.899436839297174</v>
      </c>
      <c r="N194" s="40" t="s">
        <v>116</v>
      </c>
      <c r="O194" s="2">
        <f>O192*O186*1</f>
        <v>8</v>
      </c>
      <c r="P194" s="39" t="s">
        <v>119</v>
      </c>
    </row>
    <row r="195" spans="2:16" x14ac:dyDescent="0.25">
      <c r="N195" s="2"/>
      <c r="O195" s="2"/>
      <c r="P195" s="39"/>
    </row>
    <row r="196" spans="2:16" x14ac:dyDescent="0.25">
      <c r="N196" s="2"/>
      <c r="O196" s="2"/>
      <c r="P196" s="39"/>
    </row>
    <row r="197" spans="2:16" x14ac:dyDescent="0.25">
      <c r="N197" s="40" t="s">
        <v>120</v>
      </c>
      <c r="O197" s="2">
        <f>O192*(O191/O192)*B147</f>
        <v>420</v>
      </c>
      <c r="P197" s="39" t="s">
        <v>121</v>
      </c>
    </row>
    <row r="198" spans="2:16" x14ac:dyDescent="0.25">
      <c r="N198" s="2"/>
      <c r="O198" s="43" t="s">
        <v>129</v>
      </c>
      <c r="P198" s="39"/>
    </row>
    <row r="201" spans="2:16" x14ac:dyDescent="0.25">
      <c r="B201" s="61" t="s">
        <v>103</v>
      </c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</row>
    <row r="202" spans="2:16" x14ac:dyDescent="0.25">
      <c r="B202" s="30" t="s">
        <v>93</v>
      </c>
      <c r="C202" s="30" t="s">
        <v>32</v>
      </c>
      <c r="D202" s="30" t="s">
        <v>89</v>
      </c>
      <c r="E202" s="30" t="s">
        <v>94</v>
      </c>
      <c r="F202" s="30" t="s">
        <v>95</v>
      </c>
      <c r="G202" s="30"/>
      <c r="N202" s="40" t="s">
        <v>105</v>
      </c>
      <c r="O202" s="5">
        <f>J148+30</f>
        <v>342.91734317008286</v>
      </c>
      <c r="P202" s="39" t="s">
        <v>106</v>
      </c>
    </row>
    <row r="203" spans="2:16" x14ac:dyDescent="0.25">
      <c r="B203" s="2">
        <v>0</v>
      </c>
      <c r="C203" s="34">
        <f>(B203/$F$148)^(1/$E$148)</f>
        <v>0</v>
      </c>
      <c r="D203" s="34">
        <f t="shared" ref="D203:D213" si="40">$I$148+((($H$148-$I$148)/$B$14)*B203)</f>
        <v>361.0019133193789</v>
      </c>
      <c r="E203" s="34">
        <f>D203-C203</f>
        <v>361.0019133193789</v>
      </c>
      <c r="F203" s="37">
        <f>$B$8*(E203^$B$10)+$B$12*E203</f>
        <v>8.4223800793714221E-2</v>
      </c>
      <c r="G203" s="19">
        <f>F203</f>
        <v>8.4223800793714221E-2</v>
      </c>
      <c r="H203" t="s">
        <v>97</v>
      </c>
      <c r="N203" s="40" t="s">
        <v>105</v>
      </c>
      <c r="O203" s="5">
        <f>O202/60</f>
        <v>5.7152890528347147</v>
      </c>
      <c r="P203" s="39" t="s">
        <v>107</v>
      </c>
    </row>
    <row r="204" spans="2:16" x14ac:dyDescent="0.25">
      <c r="B204" s="2">
        <f>B203+40</f>
        <v>40</v>
      </c>
      <c r="C204" s="34">
        <f t="shared" ref="C204:C213" si="41">(B204/$F$148)^(1/$E$148)</f>
        <v>6.108329586102383</v>
      </c>
      <c r="D204" s="34">
        <f t="shared" si="40"/>
        <v>367.81519363896444</v>
      </c>
      <c r="E204" s="34">
        <f t="shared" ref="E204:E213" si="42">D204-C204</f>
        <v>361.70686405286204</v>
      </c>
      <c r="F204" s="37">
        <f t="shared" ref="F204:F213" si="43">$B$8*(E204^$B$10)+$B$12*E204</f>
        <v>8.4336561455792658E-2</v>
      </c>
      <c r="G204" s="19">
        <f>2*F204</f>
        <v>0.16867312291158532</v>
      </c>
      <c r="N204" s="40" t="s">
        <v>105</v>
      </c>
      <c r="O204" s="5">
        <v>4</v>
      </c>
      <c r="P204" s="39" t="s">
        <v>107</v>
      </c>
    </row>
    <row r="205" spans="2:16" x14ac:dyDescent="0.25">
      <c r="B205" s="2">
        <f t="shared" ref="B205:B213" si="44">B204+40</f>
        <v>80</v>
      </c>
      <c r="C205" s="34">
        <f t="shared" si="41"/>
        <v>18.305159808961168</v>
      </c>
      <c r="D205" s="34">
        <f t="shared" si="40"/>
        <v>374.62847395854993</v>
      </c>
      <c r="E205" s="34">
        <f t="shared" si="42"/>
        <v>356.32331414958878</v>
      </c>
      <c r="F205" s="37">
        <f t="shared" si="43"/>
        <v>8.3474276103177314E-2</v>
      </c>
      <c r="G205" s="19">
        <f t="shared" ref="G205:G212" si="45">2*F205</f>
        <v>0.16694855220635463</v>
      </c>
      <c r="N205" s="2"/>
      <c r="O205" s="2"/>
      <c r="P205" s="39"/>
    </row>
    <row r="206" spans="2:16" x14ac:dyDescent="0.25">
      <c r="B206" s="2">
        <f t="shared" si="44"/>
        <v>120</v>
      </c>
      <c r="C206" s="34">
        <f t="shared" si="41"/>
        <v>34.785361599153617</v>
      </c>
      <c r="D206" s="34">
        <f t="shared" si="40"/>
        <v>381.44175427813548</v>
      </c>
      <c r="E206" s="34">
        <f t="shared" si="42"/>
        <v>346.65639267898189</v>
      </c>
      <c r="F206" s="37">
        <f t="shared" si="43"/>
        <v>8.1919093729154166E-2</v>
      </c>
      <c r="G206" s="19">
        <f t="shared" si="45"/>
        <v>0.16383818745830833</v>
      </c>
      <c r="N206" s="40" t="s">
        <v>108</v>
      </c>
      <c r="O206" s="2">
        <v>12</v>
      </c>
      <c r="P206" s="39" t="s">
        <v>107</v>
      </c>
    </row>
    <row r="207" spans="2:16" x14ac:dyDescent="0.25">
      <c r="B207" s="2">
        <f t="shared" si="44"/>
        <v>160</v>
      </c>
      <c r="C207" s="34">
        <f t="shared" si="41"/>
        <v>54.856056947872624</v>
      </c>
      <c r="D207" s="34">
        <f t="shared" si="40"/>
        <v>388.25503459772096</v>
      </c>
      <c r="E207" s="34">
        <f t="shared" si="42"/>
        <v>333.39897764984835</v>
      </c>
      <c r="F207" s="37">
        <f t="shared" si="43"/>
        <v>7.9771410773121998E-2</v>
      </c>
      <c r="G207" s="19">
        <f t="shared" si="45"/>
        <v>0.159542821546244</v>
      </c>
      <c r="N207" s="2"/>
      <c r="O207" s="2"/>
      <c r="P207" s="39"/>
    </row>
    <row r="208" spans="2:16" x14ac:dyDescent="0.25">
      <c r="B208" s="2">
        <f t="shared" si="44"/>
        <v>200</v>
      </c>
      <c r="C208" s="34">
        <f t="shared" si="41"/>
        <v>78.103762521904059</v>
      </c>
      <c r="D208" s="34">
        <f t="shared" si="40"/>
        <v>395.06831491730651</v>
      </c>
      <c r="E208" s="34">
        <f t="shared" si="42"/>
        <v>316.96455239540245</v>
      </c>
      <c r="F208" s="37">
        <f t="shared" si="43"/>
        <v>7.7083690647950467E-2</v>
      </c>
      <c r="G208" s="19">
        <f t="shared" si="45"/>
        <v>0.15416738129590093</v>
      </c>
      <c r="N208" s="40" t="s">
        <v>110</v>
      </c>
      <c r="O208" s="2">
        <f>O206/O204</f>
        <v>3</v>
      </c>
      <c r="P208" s="39" t="s">
        <v>111</v>
      </c>
    </row>
    <row r="209" spans="1:16" x14ac:dyDescent="0.25">
      <c r="B209" s="2">
        <f t="shared" si="44"/>
        <v>240</v>
      </c>
      <c r="C209" s="34">
        <f t="shared" si="41"/>
        <v>104.24316404500169</v>
      </c>
      <c r="D209" s="34">
        <f t="shared" si="40"/>
        <v>401.88159523689205</v>
      </c>
      <c r="E209" s="34">
        <f t="shared" si="42"/>
        <v>297.63843119189039</v>
      </c>
      <c r="F209" s="37">
        <f t="shared" si="43"/>
        <v>7.3884195264275462E-2</v>
      </c>
      <c r="G209" s="19">
        <f t="shared" si="45"/>
        <v>0.14776839052855092</v>
      </c>
      <c r="N209" s="40" t="s">
        <v>110</v>
      </c>
      <c r="O209" s="2">
        <v>2</v>
      </c>
      <c r="P209" s="39" t="s">
        <v>111</v>
      </c>
    </row>
    <row r="210" spans="1:16" x14ac:dyDescent="0.25">
      <c r="B210" s="2">
        <f t="shared" si="44"/>
        <v>280</v>
      </c>
      <c r="C210" s="34">
        <f t="shared" si="41"/>
        <v>133.06111819896643</v>
      </c>
      <c r="D210" s="34">
        <f t="shared" si="40"/>
        <v>408.69487555647754</v>
      </c>
      <c r="E210" s="34">
        <f t="shared" si="42"/>
        <v>275.63375735751112</v>
      </c>
      <c r="F210" s="37">
        <f t="shared" si="43"/>
        <v>7.0184853108711476E-2</v>
      </c>
      <c r="G210" s="19">
        <f t="shared" si="45"/>
        <v>0.14036970621742295</v>
      </c>
      <c r="N210" s="2"/>
      <c r="O210" s="2"/>
      <c r="P210" s="39"/>
    </row>
    <row r="211" spans="1:16" x14ac:dyDescent="0.25">
      <c r="B211" s="2">
        <f t="shared" si="44"/>
        <v>320</v>
      </c>
      <c r="C211" s="34">
        <f t="shared" si="41"/>
        <v>164.39009630471054</v>
      </c>
      <c r="D211" s="34">
        <f t="shared" si="40"/>
        <v>415.50815587606309</v>
      </c>
      <c r="E211" s="34">
        <f t="shared" si="42"/>
        <v>251.11805957135255</v>
      </c>
      <c r="F211" s="37">
        <f t="shared" si="43"/>
        <v>6.5983627470588641E-2</v>
      </c>
      <c r="G211" s="19">
        <f t="shared" si="45"/>
        <v>0.13196725494117728</v>
      </c>
      <c r="N211" s="40" t="s">
        <v>112</v>
      </c>
      <c r="O211" s="2">
        <f>($B$14*$B$13)/(O209*1)</f>
        <v>80000</v>
      </c>
      <c r="P211" s="39" t="s">
        <v>113</v>
      </c>
    </row>
    <row r="212" spans="1:16" x14ac:dyDescent="0.25">
      <c r="B212" s="2">
        <f t="shared" si="44"/>
        <v>360</v>
      </c>
      <c r="C212" s="34">
        <f t="shared" si="41"/>
        <v>198.09366284636963</v>
      </c>
      <c r="D212" s="34">
        <f t="shared" si="40"/>
        <v>422.32143619564857</v>
      </c>
      <c r="E212" s="34">
        <f t="shared" si="42"/>
        <v>224.22777334927895</v>
      </c>
      <c r="F212" s="37">
        <f t="shared" si="43"/>
        <v>6.1263665205581408E-2</v>
      </c>
      <c r="G212" s="19">
        <f t="shared" si="45"/>
        <v>0.12252733041116282</v>
      </c>
      <c r="N212" s="40" t="s">
        <v>112</v>
      </c>
      <c r="O212" s="2">
        <f>O211/10000</f>
        <v>8</v>
      </c>
      <c r="P212" s="39" t="s">
        <v>114</v>
      </c>
    </row>
    <row r="213" spans="1:16" x14ac:dyDescent="0.25">
      <c r="A213"/>
      <c r="B213" s="2">
        <f t="shared" si="44"/>
        <v>400</v>
      </c>
      <c r="C213" s="34">
        <f t="shared" si="41"/>
        <v>234.05774598303458</v>
      </c>
      <c r="D213" s="34">
        <f t="shared" si="40"/>
        <v>429.13471651523412</v>
      </c>
      <c r="E213" s="34">
        <f t="shared" si="42"/>
        <v>195.07697053219954</v>
      </c>
      <c r="F213" s="37">
        <f t="shared" si="43"/>
        <v>5.5989107288858107E-2</v>
      </c>
      <c r="G213" s="19">
        <f>F213</f>
        <v>5.5989107288858107E-2</v>
      </c>
      <c r="H213" t="s">
        <v>98</v>
      </c>
      <c r="N213" s="2"/>
      <c r="O213" s="2"/>
      <c r="P213" s="39"/>
    </row>
    <row r="214" spans="1:16" x14ac:dyDescent="0.25">
      <c r="A214" s="35" t="s">
        <v>96</v>
      </c>
      <c r="B214" s="1">
        <v>10</v>
      </c>
      <c r="D214" s="1"/>
      <c r="F214" s="35" t="s">
        <v>99</v>
      </c>
      <c r="G214" s="13">
        <f>SUM(G203:G213)</f>
        <v>1.4960156555992792</v>
      </c>
      <c r="N214" s="40" t="s">
        <v>115</v>
      </c>
      <c r="O214" s="2">
        <f>O211/400</f>
        <v>200</v>
      </c>
      <c r="P214" s="39" t="s">
        <v>3</v>
      </c>
    </row>
    <row r="215" spans="1:16" x14ac:dyDescent="0.25">
      <c r="D215" s="1"/>
      <c r="F215" s="36" t="s">
        <v>101</v>
      </c>
      <c r="G215" s="38">
        <f>$B$14*(G214/(2*B214))</f>
        <v>29.920313111985585</v>
      </c>
      <c r="N215" s="40" t="s">
        <v>117</v>
      </c>
      <c r="O215" s="2">
        <v>4</v>
      </c>
      <c r="P215" s="39" t="s">
        <v>118</v>
      </c>
    </row>
    <row r="216" spans="1:16" x14ac:dyDescent="0.25">
      <c r="C216" s="31"/>
      <c r="D216" s="1"/>
      <c r="F216" s="36" t="s">
        <v>36</v>
      </c>
      <c r="G216" s="38">
        <f>((G215-D17*B14)/(C148*J148))*100</f>
        <v>22.252690793438482</v>
      </c>
      <c r="N216" s="2"/>
      <c r="O216" s="2"/>
      <c r="P216" s="39"/>
    </row>
    <row r="217" spans="1:16" x14ac:dyDescent="0.25">
      <c r="F217" s="36" t="s">
        <v>37</v>
      </c>
      <c r="G217" s="38">
        <f>100-K148-G216</f>
        <v>11.465458125308608</v>
      </c>
      <c r="N217" s="40" t="s">
        <v>116</v>
      </c>
      <c r="O217" s="2">
        <f>O215*O209*1</f>
        <v>8</v>
      </c>
      <c r="P217" s="39" t="s">
        <v>119</v>
      </c>
    </row>
    <row r="218" spans="1:16" x14ac:dyDescent="0.25">
      <c r="N218" s="2"/>
      <c r="O218" s="2"/>
      <c r="P218" s="39"/>
    </row>
    <row r="219" spans="1:16" x14ac:dyDescent="0.25">
      <c r="N219" s="2"/>
      <c r="O219" s="2"/>
      <c r="P219" s="39"/>
    </row>
    <row r="220" spans="1:16" x14ac:dyDescent="0.25">
      <c r="N220" s="40" t="s">
        <v>120</v>
      </c>
      <c r="O220" s="2">
        <f>O215*(O214/O215)*B148</f>
        <v>360</v>
      </c>
      <c r="P220" s="39" t="s">
        <v>121</v>
      </c>
    </row>
    <row r="221" spans="1:16" x14ac:dyDescent="0.25">
      <c r="N221" s="2"/>
      <c r="O221" s="44" t="s">
        <v>122</v>
      </c>
      <c r="P221" s="42" t="s">
        <v>123</v>
      </c>
    </row>
    <row r="223" spans="1:16" x14ac:dyDescent="0.25">
      <c r="B223" s="41" t="s">
        <v>104</v>
      </c>
      <c r="C223" s="41"/>
      <c r="D223" s="41"/>
      <c r="E223" s="41"/>
      <c r="F223" s="41"/>
      <c r="G223" s="41"/>
    </row>
    <row r="224" spans="1:16" x14ac:dyDescent="0.25">
      <c r="B224" s="30" t="s">
        <v>93</v>
      </c>
      <c r="C224" s="30" t="s">
        <v>32</v>
      </c>
      <c r="D224" s="30" t="s">
        <v>89</v>
      </c>
      <c r="E224" s="30" t="s">
        <v>94</v>
      </c>
      <c r="F224" s="30" t="s">
        <v>95</v>
      </c>
      <c r="G224" s="30"/>
    </row>
    <row r="225" spans="1:8" x14ac:dyDescent="0.25">
      <c r="B225" s="2">
        <v>0</v>
      </c>
      <c r="C225" s="34">
        <f>(B225/$F$149)^(1/$E$149)</f>
        <v>0</v>
      </c>
      <c r="D225" s="34">
        <f t="shared" ref="D225:D235" si="46">$I$149+((($H$149-$I$149)/$B$14)*B225)</f>
        <v>441.59093397594756</v>
      </c>
      <c r="E225" s="34">
        <f>D225-C225</f>
        <v>441.59093397594756</v>
      </c>
      <c r="F225" s="37">
        <f>$B$8*(E225^$B$10)+$B$12*E225</f>
        <v>9.6850280599065516E-2</v>
      </c>
      <c r="G225" s="19">
        <f>F225</f>
        <v>9.6850280599065516E-2</v>
      </c>
      <c r="H225" t="s">
        <v>97</v>
      </c>
    </row>
    <row r="226" spans="1:8" x14ac:dyDescent="0.25">
      <c r="B226" s="2">
        <f>B225+40</f>
        <v>40</v>
      </c>
      <c r="C226" s="34">
        <f t="shared" ref="C226:C235" si="47">(B226/$F$149)^(1/$E$149)</f>
        <v>6.1626348809022957</v>
      </c>
      <c r="D226" s="34">
        <f t="shared" si="46"/>
        <v>447.96115371758918</v>
      </c>
      <c r="E226" s="34">
        <f t="shared" ref="E226:E235" si="48">D226-C226</f>
        <v>441.79851883668687</v>
      </c>
      <c r="F226" s="37">
        <f t="shared" ref="F226:F235" si="49">$B$8*(E226^$B$10)+$B$12*E226</f>
        <v>9.6882183823918458E-2</v>
      </c>
      <c r="G226" s="19">
        <f>2*F226</f>
        <v>0.19376436764783692</v>
      </c>
    </row>
    <row r="227" spans="1:8" x14ac:dyDescent="0.25">
      <c r="B227" s="2">
        <f t="shared" ref="B227:B235" si="50">B226+40</f>
        <v>80</v>
      </c>
      <c r="C227" s="34">
        <f t="shared" si="47"/>
        <v>20.048818286747618</v>
      </c>
      <c r="D227" s="34">
        <f t="shared" si="46"/>
        <v>454.33137345923086</v>
      </c>
      <c r="E227" s="34">
        <f t="shared" si="48"/>
        <v>434.28255517248323</v>
      </c>
      <c r="F227" s="37">
        <f t="shared" si="49"/>
        <v>9.5725221029648061E-2</v>
      </c>
      <c r="G227" s="19">
        <f t="shared" ref="G227:G234" si="51">2*F227</f>
        <v>0.19145044205929612</v>
      </c>
    </row>
    <row r="228" spans="1:8" x14ac:dyDescent="0.25">
      <c r="B228" s="2">
        <f t="shared" si="50"/>
        <v>120</v>
      </c>
      <c r="C228" s="34">
        <f t="shared" si="47"/>
        <v>39.974048761248667</v>
      </c>
      <c r="D228" s="34">
        <f t="shared" si="46"/>
        <v>460.70159320087248</v>
      </c>
      <c r="E228" s="34">
        <f t="shared" si="48"/>
        <v>420.72754443962378</v>
      </c>
      <c r="F228" s="37">
        <f t="shared" si="49"/>
        <v>9.3628769584851806E-2</v>
      </c>
      <c r="G228" s="19">
        <f t="shared" si="51"/>
        <v>0.18725753916970361</v>
      </c>
    </row>
    <row r="229" spans="1:8" x14ac:dyDescent="0.25">
      <c r="B229" s="2">
        <f t="shared" si="50"/>
        <v>160</v>
      </c>
      <c r="C229" s="34">
        <f t="shared" si="47"/>
        <v>65.22455450681737</v>
      </c>
      <c r="D229" s="34">
        <f t="shared" si="46"/>
        <v>467.07181294251416</v>
      </c>
      <c r="E229" s="34">
        <f t="shared" si="48"/>
        <v>401.8472584356968</v>
      </c>
      <c r="F229" s="37">
        <f t="shared" si="49"/>
        <v>9.0686469303644865E-2</v>
      </c>
      <c r="G229" s="19">
        <f t="shared" si="51"/>
        <v>0.18137293860728973</v>
      </c>
    </row>
    <row r="230" spans="1:8" x14ac:dyDescent="0.25">
      <c r="B230" s="2">
        <f t="shared" si="50"/>
        <v>200</v>
      </c>
      <c r="C230" s="34">
        <f t="shared" si="47"/>
        <v>95.354694037010759</v>
      </c>
      <c r="D230" s="34">
        <f t="shared" si="46"/>
        <v>473.44203268415578</v>
      </c>
      <c r="E230" s="34">
        <f t="shared" si="48"/>
        <v>378.08733864714503</v>
      </c>
      <c r="F230" s="37">
        <f t="shared" si="49"/>
        <v>8.694423359017521E-2</v>
      </c>
      <c r="G230" s="19">
        <f t="shared" si="51"/>
        <v>0.17388846718035042</v>
      </c>
    </row>
    <row r="231" spans="1:8" x14ac:dyDescent="0.25">
      <c r="B231" s="2">
        <f t="shared" si="50"/>
        <v>240</v>
      </c>
      <c r="C231" s="34">
        <f t="shared" si="47"/>
        <v>130.0470424239254</v>
      </c>
      <c r="D231" s="34">
        <f t="shared" si="46"/>
        <v>479.8122524257974</v>
      </c>
      <c r="E231" s="34">
        <f t="shared" si="48"/>
        <v>349.76521000187199</v>
      </c>
      <c r="F231" s="37">
        <f t="shared" si="49"/>
        <v>8.242020354491178E-2</v>
      </c>
      <c r="G231" s="19">
        <f t="shared" si="51"/>
        <v>0.16484040708982356</v>
      </c>
    </row>
    <row r="232" spans="1:8" x14ac:dyDescent="0.25">
      <c r="B232" s="2">
        <f t="shared" si="50"/>
        <v>280</v>
      </c>
      <c r="C232" s="34">
        <f t="shared" si="47"/>
        <v>169.0585290289616</v>
      </c>
      <c r="D232" s="34">
        <f t="shared" si="46"/>
        <v>486.18247216743907</v>
      </c>
      <c r="E232" s="34">
        <f t="shared" si="48"/>
        <v>317.12394313847744</v>
      </c>
      <c r="F232" s="37">
        <f t="shared" si="49"/>
        <v>7.7109898969193708E-2</v>
      </c>
      <c r="G232" s="19">
        <f t="shared" si="51"/>
        <v>0.15421979793838742</v>
      </c>
    </row>
    <row r="233" spans="1:8" x14ac:dyDescent="0.25">
      <c r="B233" s="2">
        <f t="shared" si="50"/>
        <v>320</v>
      </c>
      <c r="C233" s="34">
        <f t="shared" si="47"/>
        <v>212.19417771993417</v>
      </c>
      <c r="D233" s="34">
        <f t="shared" si="46"/>
        <v>492.55269190908069</v>
      </c>
      <c r="E233" s="34">
        <f t="shared" si="48"/>
        <v>280.35851418914649</v>
      </c>
      <c r="F233" s="37">
        <f t="shared" si="49"/>
        <v>7.0984559484131293E-2</v>
      </c>
      <c r="G233" s="19">
        <f t="shared" si="51"/>
        <v>0.14196911896826259</v>
      </c>
    </row>
    <row r="234" spans="1:8" x14ac:dyDescent="0.25">
      <c r="B234" s="2">
        <f t="shared" si="50"/>
        <v>360</v>
      </c>
      <c r="C234" s="34">
        <f t="shared" si="47"/>
        <v>259.29243014519238</v>
      </c>
      <c r="D234" s="34">
        <f t="shared" si="46"/>
        <v>498.92291165072237</v>
      </c>
      <c r="E234" s="34">
        <f t="shared" si="48"/>
        <v>239.63048150552999</v>
      </c>
      <c r="F234" s="37">
        <f t="shared" si="49"/>
        <v>6.3982657432017892E-2</v>
      </c>
      <c r="G234" s="19">
        <f t="shared" si="51"/>
        <v>0.12796531486403578</v>
      </c>
    </row>
    <row r="235" spans="1:8" x14ac:dyDescent="0.25">
      <c r="A235"/>
      <c r="B235" s="2">
        <f t="shared" si="50"/>
        <v>400</v>
      </c>
      <c r="C235" s="34">
        <f t="shared" si="47"/>
        <v>310.21616086016451</v>
      </c>
      <c r="D235" s="34">
        <f t="shared" si="46"/>
        <v>505.29313139236399</v>
      </c>
      <c r="E235" s="34">
        <f t="shared" si="48"/>
        <v>195.07697053219948</v>
      </c>
      <c r="F235" s="37">
        <f t="shared" si="49"/>
        <v>5.59891072888581E-2</v>
      </c>
      <c r="G235" s="19">
        <f>F235</f>
        <v>5.59891072888581E-2</v>
      </c>
      <c r="H235" t="s">
        <v>98</v>
      </c>
    </row>
    <row r="236" spans="1:8" x14ac:dyDescent="0.25">
      <c r="A236" s="35" t="s">
        <v>96</v>
      </c>
      <c r="B236" s="1">
        <v>10</v>
      </c>
      <c r="D236" s="1"/>
      <c r="F236" s="35" t="s">
        <v>99</v>
      </c>
      <c r="G236" s="13">
        <f>SUM(G225:G235)</f>
        <v>1.6695677814129097</v>
      </c>
    </row>
    <row r="237" spans="1:8" x14ac:dyDescent="0.25">
      <c r="D237" s="1"/>
      <c r="F237" s="36" t="s">
        <v>101</v>
      </c>
      <c r="G237" s="38">
        <f>$B$14*(G236/(2*B236))</f>
        <v>33.391355628258196</v>
      </c>
    </row>
    <row r="238" spans="1:8" x14ac:dyDescent="0.25">
      <c r="C238" s="31"/>
      <c r="D238" s="1"/>
      <c r="F238" s="36" t="s">
        <v>36</v>
      </c>
      <c r="G238" s="38">
        <f>((G237-D17*B14)/(C149*J149))*100</f>
        <v>31.32495876991851</v>
      </c>
    </row>
    <row r="239" spans="1:8" x14ac:dyDescent="0.25">
      <c r="F239" s="36" t="s">
        <v>37</v>
      </c>
      <c r="G239" s="38">
        <f>100-K149-G238</f>
        <v>4.8358661385036328</v>
      </c>
    </row>
  </sheetData>
  <mergeCells count="47">
    <mergeCell ref="B178:P178"/>
    <mergeCell ref="B201:P201"/>
    <mergeCell ref="A98:N98"/>
    <mergeCell ref="D99:F99"/>
    <mergeCell ref="G99:I99"/>
    <mergeCell ref="J99:L99"/>
    <mergeCell ref="A176:N176"/>
    <mergeCell ref="A142:N142"/>
    <mergeCell ref="A154:N154"/>
    <mergeCell ref="A109:N109"/>
    <mergeCell ref="D110:F110"/>
    <mergeCell ref="G110:I110"/>
    <mergeCell ref="J110:L110"/>
    <mergeCell ref="A120:N120"/>
    <mergeCell ref="D121:F121"/>
    <mergeCell ref="A132:N132"/>
    <mergeCell ref="A76:N76"/>
    <mergeCell ref="G121:I121"/>
    <mergeCell ref="J121:L121"/>
    <mergeCell ref="D77:F77"/>
    <mergeCell ref="G77:I77"/>
    <mergeCell ref="J77:L77"/>
    <mergeCell ref="A87:N87"/>
    <mergeCell ref="D88:F88"/>
    <mergeCell ref="G88:I88"/>
    <mergeCell ref="J88:L88"/>
    <mergeCell ref="A65:N65"/>
    <mergeCell ref="D66:F66"/>
    <mergeCell ref="G66:I66"/>
    <mergeCell ref="J66:L66"/>
    <mergeCell ref="J51:L51"/>
    <mergeCell ref="A156:A160"/>
    <mergeCell ref="A163:A167"/>
    <mergeCell ref="A170:A174"/>
    <mergeCell ref="A5:E5"/>
    <mergeCell ref="B39:D39"/>
    <mergeCell ref="E39:G39"/>
    <mergeCell ref="E40:G40"/>
    <mergeCell ref="E41:G41"/>
    <mergeCell ref="A37:G37"/>
    <mergeCell ref="A24:G24"/>
    <mergeCell ref="B40:D40"/>
    <mergeCell ref="B41:D41"/>
    <mergeCell ref="D51:F51"/>
    <mergeCell ref="G51:I51"/>
    <mergeCell ref="A48:N48"/>
    <mergeCell ref="A50:N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Letícia Possel</dc:creator>
  <cp:lastModifiedBy>Chaiane Guerra da Conceição</cp:lastModifiedBy>
  <cp:lastPrinted>2026-04-29T19:37:43Z</cp:lastPrinted>
  <dcterms:created xsi:type="dcterms:W3CDTF">2025-12-06T17:56:47Z</dcterms:created>
  <dcterms:modified xsi:type="dcterms:W3CDTF">2026-05-14T18:16:38Z</dcterms:modified>
</cp:coreProperties>
</file>