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9888049be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973dba53dfa407a"/>
    <x:sheet xmlns:r="http://schemas.openxmlformats.org/officeDocument/2006/relationships" name="Sulcos" sheetId="2" r:id="R1fed004e6b364f85"/>
    <x:sheet xmlns:r="http://schemas.openxmlformats.org/officeDocument/2006/relationships" name="Faixas" sheetId="3" r:id="Rd93322473366486c"/>
    <x:sheet xmlns:r="http://schemas.openxmlformats.org/officeDocument/2006/relationships" name="Bacia intermitente" sheetId="4" r:id="R35d56933d4a041a0"/>
    <x:sheet xmlns:r="http://schemas.openxmlformats.org/officeDocument/2006/relationships" name="Bacia permanente" sheetId="5" r:id="Re47c42fdcf984ed4"/>
    <x:sheet xmlns:r="http://schemas.openxmlformats.org/officeDocument/2006/relationships" name="Fontes e alertas" sheetId="6" r:id="R43e2bfd95377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"/>
    <x:numFmt numFmtId="202" formatCode="0.0"/>
  </x:numFmts>
  <x:fonts count="10">
    <x:font>
      <x:sz val="11"/>
      <x:name val="Carlito"/>
    </x:font>
    <x:font>
      <x:b/>
      <x:sz val="15"/>
      <x:color rgb="FF17365D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7365D"/>
      <x:name val="Arial"/>
    </x:font>
    <x:font>
      <x:b/>
      <x:sz val="11"/>
      <x:color rgb="FFC00000"/>
      <x:name val="Arial"/>
    </x:font>
    <x:font>
      <x:sz val="11"/>
      <x:color rgb="FFC00000"/>
      <x:name val="Arial"/>
    </x:font>
    <x:font>
      <x:b/>
      <x:sz val="10"/>
      <x:color rgb="FF375623"/>
      <x:name val="Arial"/>
    </x:font>
    <x:font>
      <x:sz val="10"/>
      <x:color rgb="FFC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9">
    <x:border/>
    <x:border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8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200" fontId="4" fillId="4" borderId="3" xfId="0" applyNumberFormat="1" applyFont="1" applyFill="1" applyBorder="1" applyAlignment="1">
      <x:alignment vertical="center"/>
    </x:xf>
    <x:xf numFmtId="200" fontId="4" fillId="4" borderId="4" xfId="0" applyNumberFormat="1" applyFont="1" applyFill="1" applyBorder="1" applyAlignment="1">
      <x:alignment vertical="center"/>
    </x:xf>
    <x:xf numFmtId="200" fontId="4" fillId="4" borderId="5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vertical="center"/>
    </x:xf>
    <x:xf numFmtId="0" fontId="8" fillId="6" borderId="4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9" fillId="5" borderId="3" xfId="0" applyNumberFormat="1" applyFont="1" applyFill="1" applyBorder="1" applyAlignment="1">
      <x:alignment vertical="center"/>
    </x:xf>
    <x:xf numFmtId="201" fontId="4" fillId="6" borderId="4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fbae410b04381" /><Relationship Type="http://schemas.openxmlformats.org/officeDocument/2006/relationships/theme" Target="/xl/theme/theme1.xml" Id="Re4017a8225b94499" /><Relationship Type="http://schemas.openxmlformats.org/officeDocument/2006/relationships/sharedStrings" Target="/xl/sharedStrings.xml" Id="Ra9c4de3827594ed9" /><Relationship Type="http://schemas.openxmlformats.org/officeDocument/2006/relationships/worksheet" Target="/xl/worksheets/sheet1.xml" Id="R4973dba53dfa407a" /><Relationship Type="http://schemas.openxmlformats.org/officeDocument/2006/relationships/worksheet" Target="/xl/worksheets/sheet2.xml" Id="R1fed004e6b364f85" /><Relationship Type="http://schemas.openxmlformats.org/officeDocument/2006/relationships/worksheet" Target="/xl/worksheets/sheet3.xml" Id="Rd93322473366486c" /><Relationship Type="http://schemas.openxmlformats.org/officeDocument/2006/relationships/worksheet" Target="/xl/worksheets/sheet4.xml" Id="R35d56933d4a041a0" /><Relationship Type="http://schemas.openxmlformats.org/officeDocument/2006/relationships/worksheet" Target="/xl/worksheets/sheet5.xml" Id="Re47c42fdcf984ed4" /><Relationship Type="http://schemas.openxmlformats.org/officeDocument/2006/relationships/worksheet" Target="/xl/worksheets/sheet6.xml" Id="R43e2bfd9537744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64907f74444f45" /><Relationship Type="http://schemas.openxmlformats.org/officeDocument/2006/relationships/chart" Target="/xl/drawings/charts/chart2.xml" Id="R4b01654f497a459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39a2e63421343f2" /><Relationship Type="http://schemas.openxmlformats.org/officeDocument/2006/relationships/chart" Target="/xl/drawings/charts/chart4.xml" Id="Rad46a7fe0694403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760e2216e41948a8" /><Relationship Type="http://schemas.openxmlformats.org/officeDocument/2006/relationships/chart" Target="/xl/drawings/charts/chart6.xml" Id="R3cb9922df3524a1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c404a7eb46094563" /><Relationship Type="http://schemas.openxmlformats.org/officeDocument/2006/relationships/chart" Target="/xl/drawings/charts/chart8.xml" Id="R248d354248a544e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Avanço da água no sulco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Tempo de avanço (min)</c:v>
          </c:tx>
          <c:xVal>
            <c:numLit>
              <c:formatCode>General</c:formatCode>
              <c:ptCount val="0"/>
            </c:numLit>
          </c:xVal>
          <c:yVal>
            <c:numRef>
              <c:f>'Sulcos'!$B$25:$B$35</c:f>
              <c:numCache>
                <c:formatCode>0.0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Tempo de avanço (min)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Distância (m)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Perfil de lâmina ao longo do sulco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Lâmina infiltrada (mm)</c:v>
          </c:tx>
          <c:marker>
            <c:symbol val="none"/>
          </c:marker>
          <c:cat>
            <c:strRef>
              <c:f>'Sulcos'!$A$25:$A$35</c:f>
              <c:strCache>
                <c:ptCount val="0"/>
              </c:strCache>
            </c:strRef>
          </c:cat>
          <c:val>
            <c:numRef>
              <c:f>'Sulcos'!$D$25:$D$35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IRN (mm)</c:v>
          </c:tx>
          <c:marker>
            <c:symbol val="none"/>
          </c:marker>
          <c:cat>
            <c:strRef>
              <c:f>'Sulcos'!$A$25:$A$35</c:f>
              <c:strCache>
                <c:ptCount val="0"/>
              </c:strCache>
            </c:strRef>
          </c:cat>
          <c:val>
            <c:numRef>
              <c:f>'Sulcos'!$E$25:$E$35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Distância (m)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Lâmina (mm)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Eficiência por vazão — faixas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Ea (%)</c:v>
          </c:tx>
          <c:xVal>
            <c:numRef>
              <c:f>'Faixas'!$A$26:$A$28</c:f>
              <c:numCache>
                <c:formatCode>0.00</c:formatCode>
                <c:ptCount val="0"/>
              </c:numCache>
            </c:numRef>
          </c:xVal>
          <c:yVal>
            <c:numRef>
              <c:f>'Faixas'!$E$26:$E$28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Eficiência (%)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Q0 (L/s/m)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Perfil infiltrado — 1,8 L/s/m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Tempo de oportunidade (min)</c:v>
          </c:tx>
          <c:marker>
            <c:symbol val="none"/>
          </c:marker>
          <c:cat>
            <c:strRef>
              <c:f>'Faixas'!$A$33:$A$43</c:f>
              <c:strCache>
                <c:ptCount val="0"/>
              </c:strCache>
            </c:strRef>
          </c:cat>
          <c:val>
            <c:numRef>
              <c:f>'Faixas'!$B$33:$B$43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Lâmina infiltrada (mm)</c:v>
          </c:tx>
          <c:marker>
            <c:symbol val="none"/>
          </c:marker>
          <c:cat>
            <c:strRef>
              <c:f>'Faixas'!$A$33:$A$43</c:f>
              <c:strCache>
                <c:ptCount val="0"/>
              </c:strCache>
            </c:strRef>
          </c:cat>
          <c:val>
            <c:numRef>
              <c:f>'Faixas'!$C$33:$C$43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Distância (m)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Lâmina / tempo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Eficiência por vazão — bacia intermitente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Ea (%)</c:v>
          </c:tx>
          <c:xVal>
            <c:numRef>
              <c:f>'Bacia intermitente'!$A$25:$A$33</c:f>
              <c:numCache>
                <c:formatCode>0.00</c:formatCode>
                <c:ptCount val="0"/>
              </c:numCache>
            </c:numRef>
          </c:xVal>
          <c:yVal>
            <c:numRef>
              <c:f>'Bacia intermitente'!$D$25:$D$33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Ea (%)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Q0 (L/s/m)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Tempo de avanço e irrigação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ta (min)</c:v>
          </c:tx>
          <c:marker>
            <c:symbol val="none"/>
          </c:marker>
          <c:cat>
            <c:strRef>
              <c:f>'Bacia intermitente'!$A$25:$A$33</c:f>
              <c:strCache>
                <c:ptCount val="0"/>
              </c:strCache>
            </c:strRef>
          </c:cat>
          <c:val>
            <c:numRef>
              <c:f>'Bacia intermitente'!$B$25:$B$33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ti (min)</c:v>
          </c:tx>
          <c:marker>
            <c:symbol val="none"/>
          </c:marker>
          <c:cat>
            <c:strRef>
              <c:f>'Bacia intermitente'!$A$25:$A$33</c:f>
              <c:strCache>
                <c:ptCount val="0"/>
              </c:strCache>
            </c:strRef>
          </c:cat>
          <c:val>
            <c:numRef>
              <c:f>'Bacia intermitente'!$C$25:$C$33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Q0 (L/s/m)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Tempo (min)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Vazões de projeto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Valor</c:v>
          </c:tx>
          <c:cat>
            <c:strRef>
              <c:f>'Bacia permanente'!$A$24:$A$26</c:f>
              <c:strCache>
                <c:ptCount val="0"/>
              </c:strCache>
            </c:strRef>
          </c:cat>
          <c:val>
            <c:numRef>
              <c:f>'Bacia permanente'!$B$24:$B$26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Indicador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Vazão (L/s)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Eficiências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'Bacia permanente'!$A$26:$A$28</c:f>
              <c:strCache>
                <c:ptCount val="0"/>
              </c:strCache>
            </c:strRef>
          </c:cat>
          <c:val>
            <c:numRef>
              <c:f>'Bacia permanente'!$B$26:$B$28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Indicador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Eficiência (%)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18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64907f74444f45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14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01654f497a459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22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9a2e63421343f2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16</xdr:col>
      <xdr:colOff>0</xdr:colOff>
      <xdr:row>54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46a7fe0694403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21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0e2216e41948a8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15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b9922df3524a1f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3</xdr:col>
      <xdr:colOff>0</xdr:colOff>
      <xdr:row>21</xdr:row>
      <xdr:rowOff>0</xdr:rowOff>
    </xdr:from>
    <xdr:to>
      <xdr:col>10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04a7eb46094563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17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8d354248a544e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3888d5f55c348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e019e2bb1ee46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2b411a737b9342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f4304426d6954e3d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7" hidden="0" customWidth="1"/>
    <x:col min="3" max="3" width="29" hidden="0" customWidth="1"/>
    <x:col min="4" max="4" width="29" hidden="0" customWidth="1"/>
    <x:col min="5" max="5" width="25" hidden="0" customWidth="1"/>
    <x:col min="6" max="6" width="30" hidden="0" customWidth="1"/>
    <x:col min="7" max="7" width="31" hidden="0" customWidth="1"/>
    <x:col min="8" max="8" width="35" hidden="0" customWidth="1"/>
  </x:cols>
  <x:sheetData>
    <x:row r="2">
      <x:c r="A2" s="56" t="str">
        <x:v>Cálculos de irrigação por superfície</x:v>
      </x:c>
      <x:c r="B2" s="57"/>
      <x:c r="C2" s="57"/>
      <x:c r="D2" s="57"/>
      <x:c r="E2" s="57"/>
      <x:c r="F2" s="57"/>
      <x:c r="G2" s="57"/>
      <x:c r="H2" s="57"/>
      <x:c r="I2" s="57"/>
      <x:c r="J2" s="57"/>
    </x:row>
    <x:row r="3">
      <x:c r="A3" s="58" t="str">
        <x:v>Síntese extraída das aulas e planilhas de exemplo: sulcos, faixas e bacias.</x:v>
      </x:c>
      <x:c r="B3" s="58"/>
      <x:c r="C3" s="58"/>
      <x:c r="D3" s="58"/>
      <x:c r="E3" s="58"/>
      <x:c r="F3" s="58"/>
      <x:c r="G3" s="58"/>
      <x:c r="H3" s="58"/>
      <x:c r="I3" s="58"/>
      <x:c r="J3" s="58"/>
    </x:row>
    <x:row r="4">
      <x:c r="A4" s="59"/>
      <x:c r="B4" s="59"/>
      <x:c r="C4" s="59"/>
      <x:c r="D4" s="59"/>
      <x:c r="E4" s="59"/>
      <x:c r="F4" s="59"/>
      <x:c r="G4" s="59"/>
      <x:c r="H4" s="59"/>
      <x:c r="I4" s="59"/>
      <x:c r="J4" s="59"/>
    </x:row>
    <x:row r="5">
      <x:c r="A5" s="59"/>
      <x:c r="B5" s="59"/>
      <x:c r="C5" s="59"/>
      <x:c r="D5" s="59"/>
      <x:c r="E5" s="59"/>
      <x:c r="F5" s="59"/>
      <x:c r="G5" s="59"/>
      <x:c r="H5" s="59"/>
      <x:c r="I5" s="59"/>
      <x:c r="J5" s="59"/>
    </x:row>
    <x:row r="6" ht="15" hidden="0" customHeight="1">
      <x:c r="A6" s="9" t="str">
        <x:v>Tipo</x:v>
      </x:c>
      <x:c r="B6" s="9" t="str">
        <x:v>Entradas centrais</x:v>
      </x:c>
      <x:c r="C6" s="9" t="str">
        <x:v>Cálculos centrais</x:v>
      </x:c>
      <x:c r="D6" s="9" t="str">
        <x:v>Resultado de decisão</x:v>
      </x:c>
      <x:c r="E6" s="9" t="str">
        <x:v>Gráfico principal</x:v>
      </x:c>
      <x:c r="F6" s="9" t="str">
        <x:v>Gráficos de apoio</x:v>
      </x:c>
      <x:c r="G6" s="9" t="str">
        <x:v>Exemplo extraído</x:v>
      </x:c>
      <x:c r="H6" s="9" t="str">
        <x:v>Observação</x:v>
      </x:c>
      <x:c r="I6" s="59"/>
      <x:c r="J6" s="59"/>
    </x:row>
    <x:row r="7" ht="24" hidden="0" customHeight="1">
      <x:c r="A7" s="18" t="str">
        <x:v>Sulcos</x:v>
      </x:c>
      <x:c r="B7" s="19" t="str">
        <x:v>Solo, infiltração, declividade, espaçamento, área, IRN, ETc e vazão</x:v>
      </x:c>
      <x:c r="C7" s="19" t="str">
        <x:v>qmáx, avanço, oportunidade, Ti, lâminas e eficiências</x:v>
      </x:c>
      <x:c r="D7" s="19" t="str">
        <x:v>Vazão, comprimento e manejo sem erosão</x:v>
      </x:c>
      <x:c r="E7" s="19" t="str">
        <x:v>Distância × tempos de avanço/recesso</x:v>
      </x:c>
      <x:c r="F7" s="19" t="str">
        <x:v>Perfil de lâmina; eficiência e perdas × vazão</x:v>
      </x:c>
      <x:c r="G7" s="19" t="str">
        <x:v>C = 200 m; q = 1,0 L/s; IRN = 42 mm</x:v>
      </x:c>
      <x:c r="H7" s="19" t="str">
        <x:v>A aula contém divergência no tempo da vazão reduzida.</x:v>
      </x:c>
      <x:c r="I7" s="59"/>
      <x:c r="J7" s="59"/>
    </x:row>
    <x:row r="8" ht="24" hidden="0" customHeight="1">
      <x:c r="A8" s="20" t="str">
        <x:v>Faixas</x:v>
      </x:c>
      <x:c r="B8" s="21" t="str">
        <x:v>k, a, VIB, So, n, dimensões, IRN, ETc e Qt</x:v>
      </x:c>
      <x:c r="C8" s="21" t="str">
        <x:v>Qmáx, L, to, ta, td, tr, ti, Ea, Pp, Pe e Qt</x:v>
      </x:c>
      <x:c r="D8" s="21" t="str">
        <x:v>Cenário com maior Ea que respeite Qt disponível</x:v>
      </x:c>
      <x:c r="E8" s="21" t="str">
        <x:v>Ea × vazão de entrada</x:v>
      </x:c>
      <x:c r="F8" s="21" t="str">
        <x:v>Ta/Td/Ti × vazão; perfil infiltrado; perdas</x:v>
      </x:c>
      <x:c r="G8" s="21" t="str">
        <x:v>Melhor viável: 1,8 L/s/m; Ea = 66,28%; Qt = 360 L/s</x:v>
      </x:c>
      <x:c r="H8" s="21" t="str">
        <x:v>2,1 L/s/m tem Qt = 420 L/s e excede 400 L/s.</x:v>
      </x:c>
      <x:c r="I8" s="59"/>
      <x:c r="J8" s="59"/>
    </x:row>
    <x:row r="9" ht="24" hidden="0" customHeight="1">
      <x:c r="A9" s="20" t="str">
        <x:v>Bacia intermitente</x:v>
      </x:c>
      <x:c r="B9" s="21" t="str">
        <x:v>Infiltração, dimensões, n, IRN, ETc, Vmáx e Qt</x:v>
      </x:c>
      <x:c r="C9" s="21" t="str">
        <x:v>Q0máx, ta, ti, Ea, largura e Qt</x:v>
      </x:c>
      <x:c r="D9" s="21" t="str">
        <x:v>Maior Ea com ta &lt; ti e dentro de Qt</x:v>
      </x:c>
      <x:c r="E9" s="21" t="str">
        <x:v>Ea × vazão de entrada</x:v>
      </x:c>
      <x:c r="F9" s="21" t="str">
        <x:v>Ta e Ti × vazão; perfil infiltrado</x:v>
      </x:c>
      <x:c r="G9" s="21" t="str">
        <x:v>Cenário indicado: 5 L/s/m; Ea = 79,31%</x:v>
      </x:c>
      <x:c r="H9" s="21" t="str">
        <x:v>A linha de 222,22 L/s está abaixo de 400 L/s, apesar do texto-fonte dizer o contrário.</x:v>
      </x:c>
      <x:c r="I9" s="59"/>
      <x:c r="J9" s="59"/>
    </x:row>
    <x:row r="10" ht="24" hidden="0" customHeight="1">
      <x:c r="A10" s="22" t="str">
        <x:v>Bacia permanente</x:v>
      </x:c>
      <x:c r="B10" s="23" t="str">
        <x:v>Porosidade, K0, DTA, Z, ET0, ETc, f, Lm, A e Qd</x:v>
      </x:c>
      <x:c r="C10" s="23" t="str">
        <x:v>TR, Qe, Qm, Ec, Les, Las e Ea</x:v>
      </x:c>
      <x:c r="D10" s="23" t="str">
        <x:v>Dimensionar enchimento e manutenção</x:v>
      </x:c>
      <x:c r="E10" s="23" t="str">
        <x:v>Qe, Qm e Qd</x:v>
      </x:c>
      <x:c r="F10" s="23" t="str">
        <x:v>Ec e Ea; Les × Las</x:v>
      </x:c>
      <x:c r="G10" s="23" t="str">
        <x:v>TR = 7 d; Qe = 16,55 L/s; Qm = 3,29 L/s; Ea = 63,24%</x:v>
      </x:c>
      <x:c r="H10" s="23" t="str">
        <x:v>Resultados reproduzidos da planilha de exemplo.</x:v>
      </x:c>
      <x:c r="I10" s="59"/>
      <x:c r="J10" s="59"/>
    </x:row>
    <x:row r="11">
      <x:c r="A11" s="59"/>
      <x:c r="B11" s="59"/>
      <x:c r="C11" s="59"/>
      <x:c r="D11" s="59"/>
      <x:c r="E11" s="59"/>
      <x:c r="F11" s="59"/>
      <x:c r="G11" s="59"/>
      <x:c r="H11" s="59"/>
      <x:c r="I11" s="59"/>
      <x:c r="J11" s="59"/>
    </x:row>
    <x:row r="12" ht="15" hidden="0" customHeight="1">
      <x:c r="A12" s="29" t="str">
        <x:v>Sequência mínima de cálculo</x:v>
      </x:c>
      <x:c r="B12" s="30" t="str">
        <x:v>Sequência mínima de cálculo</x:v>
      </x:c>
      <x:c r="C12" s="30" t="str">
        <x:v>Sequência mínima de cálculo</x:v>
      </x:c>
      <x:c r="D12" s="30" t="str">
        <x:v>Sequência mínima de cálculo</x:v>
      </x:c>
      <x:c r="E12" s="30" t="str">
        <x:v>Sequência mínima de cálculo</x:v>
      </x:c>
      <x:c r="F12" s="31" t="str">
        <x:v>Sequência mínima de cálculo</x:v>
      </x:c>
      <x:c r="G12" s="59"/>
      <x:c r="H12" s="59"/>
      <x:c r="I12" s="59"/>
      <x:c r="J12" s="59"/>
    </x:row>
    <x:row r="13" ht="15" hidden="0" customHeight="1">
      <x:c r="A13" s="9" t="str">
        <x:v>Ordem recomendada</x:v>
      </x:c>
      <x:c r="B13" s="9" t="str">
        <x:v>Sulcos</x:v>
      </x:c>
      <x:c r="C13" s="9" t="str">
        <x:v>Faixas</x:v>
      </x:c>
      <x:c r="D13" s="9" t="str">
        <x:v>Bacia intermitente</x:v>
      </x:c>
      <x:c r="E13" s="9" t="str">
        <x:v>Bacia permanente</x:v>
      </x:c>
      <x:c r="F13" s="9" t="str">
        <x:v>Checagem</x:v>
      </x:c>
      <x:c r="G13" s="59"/>
      <x:c r="H13" s="59"/>
      <x:c r="I13" s="59"/>
      <x:c r="J13" s="59"/>
    </x:row>
    <x:row r="14" ht="15" hidden="0" customHeight="1">
      <x:c r="A14" s="12" t="n">
        <x:v>1</x:v>
      </x:c>
      <x:c r="B14" s="12" t="str">
        <x:v>IRN e infiltração</x:v>
      </x:c>
      <x:c r="C14" s="12" t="str">
        <x:v>IRN e infiltração</x:v>
      </x:c>
      <x:c r="D14" s="12" t="str">
        <x:v>IRN e infiltração</x:v>
      </x:c>
      <x:c r="E14" s="12" t="str">
        <x:v>TR</x:v>
      </x:c>
      <x:c r="F14" s="12" t="str">
        <x:v>Unidades coerentes</x:v>
      </x:c>
      <x:c r="G14" s="59"/>
      <x:c r="H14" s="59"/>
      <x:c r="I14" s="59"/>
      <x:c r="J14" s="59"/>
    </x:row>
    <x:row r="15" ht="15" hidden="0" customHeight="1">
      <x:c r="A15" s="13" t="n">
        <x:v>2</x:v>
      </x:c>
      <x:c r="B15" s="13" t="str">
        <x:v>qmáx e comprimento</x:v>
      </x:c>
      <x:c r="C15" s="13" t="str">
        <x:v>Qmáx e comprimento</x:v>
      </x:c>
      <x:c r="D15" s="13" t="str">
        <x:v>Q0máx</x:v>
      </x:c>
      <x:c r="E15" s="13" t="str">
        <x:v>Qe</x:v>
      </x:c>
      <x:c r="F15" s="13" t="str">
        <x:v>Sem erosão / altura dos diques</x:v>
      </x:c>
      <x:c r="G15" s="59"/>
      <x:c r="H15" s="59"/>
      <x:c r="I15" s="59"/>
      <x:c r="J15" s="59"/>
    </x:row>
    <x:row r="16" ht="15" hidden="0" customHeight="1">
      <x:c r="A16" s="13" t="n">
        <x:v>3</x:v>
      </x:c>
      <x:c r="B16" s="13" t="str">
        <x:v>ta, to e Ti</x:v>
      </x:c>
      <x:c r="C16" s="13" t="str">
        <x:v>to, ta, td, tr e ti</x:v>
      </x:c>
      <x:c r="D16" s="13" t="str">
        <x:v>ta e ti</x:v>
      </x:c>
      <x:c r="E16" s="13" t="str">
        <x:v>Qm</x:v>
      </x:c>
      <x:c r="F16" s="13" t="str">
        <x:v>Tempo positivo e convergência</x:v>
      </x:c>
      <x:c r="G16" s="59"/>
      <x:c r="H16" s="59"/>
      <x:c r="I16" s="59"/>
      <x:c r="J16" s="59"/>
    </x:row>
    <x:row r="17" ht="15" hidden="0" customHeight="1">
      <x:c r="A17" s="13" t="n">
        <x:v>4</x:v>
      </x:c>
      <x:c r="B17" s="13" t="str">
        <x:v>Lm, Li, Lf</x:v>
      </x:c>
      <x:c r="C17" s="13" t="str">
        <x:v>Perfil e volume infiltrado</x:v>
      </x:c>
      <x:c r="D17" s="13" t="str">
        <x:v>Perfil infiltrado</x:v>
      </x:c>
      <x:c r="E17" s="13" t="str">
        <x:v>Ec e Ea</x:v>
      </x:c>
      <x:c r="F17" s="13" t="str">
        <x:v>Resultado atende IRN</x:v>
      </x:c>
      <x:c r="G17" s="59"/>
      <x:c r="H17" s="59"/>
      <x:c r="I17" s="59"/>
      <x:c r="J17" s="59"/>
    </x:row>
    <x:row r="18" ht="15" hidden="0" customHeight="1">
      <x:c r="A18" s="14" t="n">
        <x:v>5</x:v>
      </x:c>
      <x:c r="B18" s="14" t="str">
        <x:v>Ea, Ed, Pp e Pe</x:v>
      </x:c>
      <x:c r="C18" s="14" t="str">
        <x:v>Ea, Pp, Pe e Qt</x:v>
      </x:c>
      <x:c r="D18" s="14" t="str">
        <x:v>Ea, largura e Qt</x:v>
      </x:c>
      <x:c r="E18" s="14" t="str">
        <x:v>Balanço semanal</x:v>
      </x:c>
      <x:c r="F18" s="14" t="str">
        <x:v>Qt necessária ≤ Qt disponível</x:v>
      </x:c>
      <x:c r="G18" s="59"/>
      <x:c r="H18" s="59"/>
      <x:c r="I18" s="59"/>
      <x:c r="J18" s="5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15" hidden="0" customWidth="1"/>
    <x:col min="4" max="4" width="16" hidden="0" customWidth="1"/>
    <x:col min="5" max="5" width="15" hidden="0" customWidth="1"/>
    <x:col min="6" max="6" width="26" hidden="0" customWidth="1"/>
    <x:col min="7" max="7" width="34" hidden="0" customWidth="1"/>
    <x:col min="8" max="8" width="28" hidden="0" customWidth="1"/>
    <x:col min="9" max="9" width="15" hidden="0" customWidth="1"/>
    <x:col min="10" max="10" width="12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</x:cols>
  <x:sheetData>
    <x:row r="1"/>
    <x:row r="2" ht="18" hidden="0" customHeight="1">
      <x:c r="A2" s="56" t="str">
        <x:v>Sulcos: entradas, cálculos e gráficos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</x:row>
    <x:row r="3" ht="15" hidden="0" customHeight="1">
      <x:c r="A3" s="58" t="str">
        <x:v>Exemplo da Aula 6. As células amarelas são entradas editáveis.</x:v>
      </x:c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</x:row>
    <x:row r="4">
      <x:c r="A4" s="59"/>
      <x:c r="B4" s="59"/>
      <x:c r="C4" s="59"/>
      <x:c r="D4" s="59"/>
      <x:c r="E4" s="59"/>
      <x:c r="F4" s="59"/>
      <x:c r="G4" s="59"/>
      <x:c r="H4" s="59"/>
      <x:c r="I4" s="59"/>
      <x:c r="J4" s="59"/>
      <x:c r="K4" s="59"/>
      <x:c r="L4" s="59"/>
      <x:c r="M4" s="59"/>
      <x:c r="N4" s="59"/>
    </x:row>
    <x:row r="5" ht="15" hidden="0" customHeight="1">
      <x:c r="A5" s="29" t="str">
        <x:v>Dados necessários</x:v>
      </x:c>
      <x:c r="B5" s="30" t="str">
        <x:v>Dados necessários</x:v>
      </x:c>
      <x:c r="C5" s="30" t="str">
        <x:v>Dados necessários</x:v>
      </x:c>
      <x:c r="D5" s="31" t="str">
        <x:v>Dados necessários</x:v>
      </x:c>
      <x:c r="E5" s="59"/>
      <x:c r="F5" s="29" t="str">
        <x:v>Cálculos principais</x:v>
      </x:c>
      <x:c r="G5" s="30" t="str">
        <x:v>Cálculos principais</x:v>
      </x:c>
      <x:c r="H5" s="30" t="str">
        <x:v>Cálculos principais</x:v>
      </x:c>
      <x:c r="I5" s="30" t="str">
        <x:v>Cálculos principais</x:v>
      </x:c>
      <x:c r="J5" s="31" t="str">
        <x:v>Cálculos principais</x:v>
      </x:c>
      <x:c r="K5" s="59"/>
      <x:c r="L5" s="59"/>
      <x:c r="M5" s="59"/>
      <x:c r="N5" s="59"/>
    </x:row>
    <x:row r="6" ht="15" hidden="0" customHeight="1">
      <x:c r="A6" s="9" t="str">
        <x:v>Símbolo</x:v>
      </x:c>
      <x:c r="B6" s="9" t="str">
        <x:v>Dado</x:v>
      </x:c>
      <x:c r="C6" s="9" t="str">
        <x:v>Valor</x:v>
      </x:c>
      <x:c r="D6" s="9" t="str">
        <x:v>Unidade</x:v>
      </x:c>
      <x:c r="E6" s="59"/>
      <x:c r="F6" s="9" t="str">
        <x:v>Resultado</x:v>
      </x:c>
      <x:c r="G6" s="9" t="str">
        <x:v>Fórmula técnica</x:v>
      </x:c>
      <x:c r="H6" s="9" t="str">
        <x:v>Fórmula Excel</x:v>
      </x:c>
      <x:c r="I6" s="9" t="str">
        <x:v>Valor</x:v>
      </x:c>
      <x:c r="J6" s="9" t="str">
        <x:v>Unidade</x:v>
      </x:c>
      <x:c r="K6" s="59"/>
      <x:c r="L6" s="59"/>
      <x:c r="M6" s="59"/>
      <x:c r="N6" s="59"/>
    </x:row>
    <x:row r="7" ht="15" hidden="0" customHeight="1">
      <x:c r="A7" s="12" t="str">
        <x:v>S0</x:v>
      </x:c>
      <x:c r="B7" s="12" t="str">
        <x:v>Declividade longitudinal</x:v>
      </x:c>
      <x:c r="C7" s="35" t="n">
        <x:v>0.5</x:v>
      </x:c>
      <x:c r="D7" s="12" t="str">
        <x:v>%</x:v>
      </x:c>
      <x:c r="E7" s="59"/>
      <x:c r="F7" s="12" t="str">
        <x:v>Vazão máxima não erosiva</x:v>
      </x:c>
      <x:c r="G7" s="12" t="str">
        <x:v>qmáx = 0,631 / S0</x:v>
      </x:c>
      <x:c r="H7" s="12" t="str">
        <x:v>=C19/C7</x:v>
      </x:c>
      <x:c r="I7" s="38" t="n">
        <x:f>C19/C7</x:f>
        <x:v>1.262</x:v>
      </x:c>
      <x:c r="J7" s="12" t="str">
        <x:v>L/s</x:v>
      </x:c>
      <x:c r="K7" s="59"/>
      <x:c r="L7" s="59"/>
      <x:c r="M7" s="59"/>
      <x:c r="N7" s="59"/>
    </x:row>
    <x:row r="8" ht="15" hidden="0" customHeight="1">
      <x:c r="A8" s="13" t="str">
        <x:v>E</x:v>
      </x:c>
      <x:c r="B8" s="13" t="str">
        <x:v>Espaçamento entre sulcos</x:v>
      </x:c>
      <x:c r="C8" s="36" t="n">
        <x:v>0.9</x:v>
      </x:c>
      <x:c r="D8" s="13" t="str">
        <x:v>m</x:v>
      </x:c>
      <x:c r="E8" s="59"/>
      <x:c r="F8" s="13" t="str">
        <x:v>Tempo total de irrigação</x:v>
      </x:c>
      <x:c r="G8" s="13" t="str">
        <x:v>Ti = Ta + To</x:v>
      </x:c>
      <x:c r="H8" s="13" t="str">
        <x:v>=C12+C13</x:v>
      </x:c>
      <x:c r="I8" s="39" t="n">
        <x:f>C12+C13</x:f>
        <x:v>220</x:v>
      </x:c>
      <x:c r="J8" s="13" t="str">
        <x:v>min</x:v>
      </x:c>
      <x:c r="K8" s="59"/>
      <x:c r="L8" s="59"/>
      <x:c r="M8" s="59"/>
      <x:c r="N8" s="59"/>
    </x:row>
    <x:row r="9" ht="15" hidden="0" customHeight="1">
      <x:c r="A9" s="13" t="str">
        <x:v>C</x:v>
      </x:c>
      <x:c r="B9" s="13" t="str">
        <x:v>Comprimento adotado</x:v>
      </x:c>
      <x:c r="C9" s="36" t="n">
        <x:v>200</x:v>
      </x:c>
      <x:c r="D9" s="13" t="str">
        <x:v>m</x:v>
      </x:c>
      <x:c r="E9" s="59"/>
      <x:c r="F9" s="13" t="str">
        <x:v>Tempo total de irrigação</x:v>
      </x:c>
      <x:c r="G9" s="13" t="str">
        <x:v>Ti(h) = Ti/60</x:v>
      </x:c>
      <x:c r="H9" s="13" t="str">
        <x:v>=I8/60</x:v>
      </x:c>
      <x:c r="I9" s="39" t="n">
        <x:f>I8/60</x:f>
        <x:v>3.6666666666666665</x:v>
      </x:c>
      <x:c r="J9" s="13" t="str">
        <x:v>h</x:v>
      </x:c>
      <x:c r="K9" s="59"/>
      <x:c r="L9" s="59"/>
      <x:c r="M9" s="59"/>
      <x:c r="N9" s="59"/>
    </x:row>
    <x:row r="10" ht="15" hidden="0" customHeight="1">
      <x:c r="A10" s="13" t="str">
        <x:v>q</x:v>
      </x:c>
      <x:c r="B10" s="13" t="str">
        <x:v>Vazão constante por sulco</x:v>
      </x:c>
      <x:c r="C10" s="36" t="n">
        <x:v>1</x:v>
      </x:c>
      <x:c r="D10" s="13" t="str">
        <x:v>L/s</x:v>
      </x:c>
      <x:c r="E10" s="59"/>
      <x:c r="F10" s="13" t="str">
        <x:v>Lâmina média aplicada</x:v>
      </x:c>
      <x:c r="G10" s="13" t="str">
        <x:v>Lm = q·Ti·3600/(C·E)</x:v>
      </x:c>
      <x:c r="H10" s="13" t="str">
        <x:v>=C10*I9*3600/(C9*C8)</x:v>
      </x:c>
      <x:c r="I10" s="39" t="n">
        <x:f>C10*I9*3600/(C9*C8)</x:f>
        <x:v>73.33333333333333</x:v>
      </x:c>
      <x:c r="J10" s="13" t="str">
        <x:v>mm</x:v>
      </x:c>
      <x:c r="K10" s="59"/>
      <x:c r="L10" s="59"/>
      <x:c r="M10" s="59"/>
      <x:c r="N10" s="59"/>
    </x:row>
    <x:row r="11" ht="15" hidden="0" customHeight="1">
      <x:c r="A11" s="13" t="str">
        <x:v>IRN</x:v>
      </x:c>
      <x:c r="B11" s="13" t="str">
        <x:v>Irrigação real necessária</x:v>
      </x:c>
      <x:c r="C11" s="36" t="n">
        <x:v>42</x:v>
      </x:c>
      <x:c r="D11" s="13" t="str">
        <x:v>mm</x:v>
      </x:c>
      <x:c r="E11" s="59"/>
      <x:c r="F11" s="13" t="str">
        <x:v>Lâmina no final</x:v>
      </x:c>
      <x:c r="G11" s="13" t="str">
        <x:v>Lf = IRN</x:v>
      </x:c>
      <x:c r="H11" s="13" t="str">
        <x:v>=C11</x:v>
      </x:c>
      <x:c r="I11" s="39" t="n">
        <x:f>C11</x:f>
        <x:v>42</x:v>
      </x:c>
      <x:c r="J11" s="13" t="str">
        <x:v>mm</x:v>
      </x:c>
      <x:c r="K11" s="59"/>
      <x:c r="L11" s="59"/>
      <x:c r="M11" s="59"/>
      <x:c r="N11" s="59"/>
    </x:row>
    <x:row r="12" ht="15" hidden="0" customHeight="1">
      <x:c r="A12" s="13" t="str">
        <x:v>Ta</x:v>
      </x:c>
      <x:c r="B12" s="13" t="str">
        <x:v>Tempo de avanço no final</x:v>
      </x:c>
      <x:c r="C12" s="36" t="n">
        <x:v>90</x:v>
      </x:c>
      <x:c r="D12" s="13" t="str">
        <x:v>min</x:v>
      </x:c>
      <x:c r="E12" s="59"/>
      <x:c r="F12" s="13" t="str">
        <x:v>Lâmina no início</x:v>
      </x:c>
      <x:c r="G12" s="13" t="str">
        <x:v>Li = aI·Ti^0,554</x:v>
      </x:c>
      <x:c r="H12" s="13" t="str">
        <x:v>=C20*I8^0.554</x:v>
      </x:c>
      <x:c r="I12" s="39" t="n">
        <x:f>C20*I8^0.554</x:f>
        <x:v>56.16795352770608</x:v>
      </x:c>
      <x:c r="J12" s="13" t="str">
        <x:v>mm</x:v>
      </x:c>
      <x:c r="K12" s="59"/>
      <x:c r="L12" s="59"/>
      <x:c r="M12" s="59"/>
      <x:c r="N12" s="59"/>
    </x:row>
    <x:row r="13" ht="15" hidden="0" customHeight="1">
      <x:c r="A13" s="13" t="str">
        <x:v>To</x:v>
      </x:c>
      <x:c r="B13" s="13" t="str">
        <x:v>Tempo de oportunidade no final</x:v>
      </x:c>
      <x:c r="C13" s="36" t="n">
        <x:v>130</x:v>
      </x:c>
      <x:c r="D13" s="13" t="str">
        <x:v>min</x:v>
      </x:c>
      <x:c r="E13" s="59"/>
      <x:c r="F13" s="13" t="str">
        <x:v>Eficiência de aplicação</x:v>
      </x:c>
      <x:c r="G13" s="13" t="str">
        <x:v>Ea = Lf/Lm·100</x:v>
      </x:c>
      <x:c r="H13" s="13" t="str">
        <x:v>=I11/I10*100</x:v>
      </x:c>
      <x:c r="I13" s="39" t="n">
        <x:f>I11/I10*100</x:f>
        <x:v>57.27272727272727</x:v>
      </x:c>
      <x:c r="J13" s="13" t="str">
        <x:v>%</x:v>
      </x:c>
      <x:c r="K13" s="59"/>
      <x:c r="L13" s="59"/>
      <x:c r="M13" s="59"/>
      <x:c r="N13" s="59"/>
    </x:row>
    <x:row r="14" ht="15" hidden="0" customHeight="1">
      <x:c r="A14" s="13" t="str">
        <x:v>Lt</x:v>
      </x:c>
      <x:c r="B14" s="13" t="str">
        <x:v>Comprimento total da área</x:v>
      </x:c>
      <x:c r="C14" s="36" t="n">
        <x:v>540</x:v>
      </x:c>
      <x:c r="D14" s="13" t="str">
        <x:v>m</x:v>
      </x:c>
      <x:c r="E14" s="59"/>
      <x:c r="F14" s="13" t="str">
        <x:v>Eficiência de distribuição</x:v>
      </x:c>
      <x:c r="G14" s="13" t="str">
        <x:v>Ed = Lf/((Li+Lf)/2)·100</x:v>
      </x:c>
      <x:c r="H14" s="13" t="str">
        <x:v>=I11/((I12+I11)/2)*100</x:v>
      </x:c>
      <x:c r="I14" s="39" t="n">
        <x:f>I11/((I12+I11)/2)*100</x:f>
        <x:v>85.56763891007726</x:v>
      </x:c>
      <x:c r="J14" s="13" t="str">
        <x:v>%</x:v>
      </x:c>
      <x:c r="K14" s="59"/>
      <x:c r="L14" s="59"/>
      <x:c r="M14" s="59"/>
      <x:c r="N14" s="59"/>
    </x:row>
    <x:row r="15" ht="15" hidden="0" customHeight="1">
      <x:c r="A15" s="13" t="str">
        <x:v>Wt</x:v>
      </x:c>
      <x:c r="B15" s="13" t="str">
        <x:v>Largura total da área</x:v>
      </x:c>
      <x:c r="C15" s="36" t="n">
        <x:v>200</x:v>
      </x:c>
      <x:c r="D15" s="13" t="str">
        <x:v>m</x:v>
      </x:c>
      <x:c r="E15" s="59"/>
      <x:c r="F15" s="13" t="str">
        <x:v>Número total de sulcos</x:v>
      </x:c>
      <x:c r="G15" s="13" t="str">
        <x:v>NTS = Lt·Wt/(C·E)</x:v>
      </x:c>
      <x:c r="H15" s="13" t="str">
        <x:v>=C14*C15/(C9*C8)</x:v>
      </x:c>
      <x:c r="I15" s="39" t="n">
        <x:f>C14*C15/(C9*C8)</x:f>
        <x:v>600</x:v>
      </x:c>
      <x:c r="J15" s="13" t="str">
        <x:v>sulcos</x:v>
      </x:c>
      <x:c r="K15" s="59"/>
      <x:c r="L15" s="59"/>
      <x:c r="M15" s="59"/>
      <x:c r="N15" s="59"/>
    </x:row>
    <x:row r="16" ht="15" hidden="0" customHeight="1">
      <x:c r="A16" s="13" t="str">
        <x:v>PI</x:v>
      </x:c>
      <x:c r="B16" s="13" t="str">
        <x:v>Período de irrigação</x:v>
      </x:c>
      <x:c r="C16" s="36" t="n">
        <x:v>10</x:v>
      </x:c>
      <x:c r="D16" s="13" t="str">
        <x:v>dias</x:v>
      </x:c>
      <x:c r="E16" s="59"/>
      <x:c r="F16" s="14" t="str">
        <x:v>Sulcos irrigados por dia</x:v>
      </x:c>
      <x:c r="G16" s="14" t="str">
        <x:v>NSD = NTS/PI</x:v>
      </x:c>
      <x:c r="H16" s="14" t="str">
        <x:v>=I15/C16</x:v>
      </x:c>
      <x:c r="I16" s="40" t="n">
        <x:f>I15/C16</x:f>
        <x:v>60</x:v>
      </x:c>
      <x:c r="J16" s="14" t="str">
        <x:v>sulcos/dia</x:v>
      </x:c>
      <x:c r="K16" s="59"/>
      <x:c r="L16" s="59"/>
      <x:c r="M16" s="59"/>
      <x:c r="N16" s="59"/>
    </x:row>
    <x:row r="17" ht="15" hidden="0" customHeight="1">
      <x:c r="A17" s="13" t="str">
        <x:v>TDF</x:v>
      </x:c>
      <x:c r="B17" s="13" t="str">
        <x:v>Tempo de funcionamento diário</x:v>
      </x:c>
      <x:c r="C17" s="36" t="n">
        <x:v>14</x:v>
      </x:c>
      <x:c r="D17" s="13" t="str">
        <x:v>h/dia</x:v>
      </x:c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</x:row>
    <x:row r="18" ht="15" hidden="0" customHeight="1">
      <x:c r="A18" s="13" t="str">
        <x:v>tmud</x:v>
      </x:c>
      <x:c r="B18" s="13" t="str">
        <x:v>Tempo de mudança por parcela</x:v>
      </x:c>
      <x:c r="C18" s="36" t="n">
        <x:v>30</x:v>
      </x:c>
      <x:c r="D18" s="13" t="str">
        <x:v>min</x:v>
      </x:c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</x:row>
    <x:row r="19" ht="15" hidden="0" customHeight="1">
      <x:c r="A19" s="13" t="str">
        <x:v>c</x:v>
      </x:c>
      <x:c r="B19" s="13" t="str">
        <x:v>Coeficiente simplificado de qmáx</x:v>
      </x:c>
      <x:c r="C19" s="36" t="n">
        <x:v>0.631</x:v>
      </x:c>
      <x:c r="D19" s="13" t="str">
        <x:v>L/s·%</x:v>
      </x:c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</x:row>
    <x:row r="20" ht="15" hidden="0" customHeight="1">
      <x:c r="A20" s="14" t="str">
        <x:v>aI</x:v>
      </x:c>
      <x:c r="B20" s="14" t="str">
        <x:v>Coeficiente da infiltração acumulada</x:v>
      </x:c>
      <x:c r="C20" s="37" t="n">
        <x:v>2.83</x:v>
      </x:c>
      <x:c r="D20" s="14" t="str">
        <x:v>mm/min^n</x:v>
      </x:c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</x:row>
    <x:row r="23" ht="15" hidden="0" customHeight="1">
      <x:c r="A23" s="29" t="str">
        <x:v>Curva de avanço e perfil infiltrado (ajuste por dois pontos do exemplo)</x:v>
      </x:c>
      <x:c r="B23" s="30" t="str">
        <x:v>Curva de avanço e perfil infiltrado (ajuste por dois pontos do exemplo)</x:v>
      </x:c>
      <x:c r="C23" s="30" t="str">
        <x:v>Curva de avanço e perfil infiltrado (ajuste por dois pontos do exemplo)</x:v>
      </x:c>
      <x:c r="D23" s="30" t="str">
        <x:v>Curva de avanço e perfil infiltrado (ajuste por dois pontos do exemplo)</x:v>
      </x:c>
      <x:c r="E23" s="31" t="str">
        <x:v>Curva de avanço e perfil infiltrado (ajuste por dois pontos do exemplo)</x:v>
      </x:c>
      <x:c r="F23" s="59"/>
      <x:c r="G23" s="59"/>
      <x:c r="H23" s="59"/>
      <x:c r="I23" s="59"/>
      <x:c r="J23" s="59"/>
      <x:c r="K23" s="59"/>
      <x:c r="L23" s="59"/>
      <x:c r="M23" s="59"/>
      <x:c r="N23" s="59"/>
    </x:row>
    <x:row r="24" ht="24" hidden="0" customHeight="1">
      <x:c r="A24" s="9" t="str">
        <x:v>Distância (m)</x:v>
      </x:c>
      <x:c r="B24" s="9" t="str">
        <x:v>Tempo de avanço (min)</x:v>
      </x:c>
      <x:c r="C24" s="9" t="str">
        <x:v>Tempo de oportunidade (min)</x:v>
      </x:c>
      <x:c r="D24" s="9" t="str">
        <x:v>Lâmina infiltrada (mm)</x:v>
      </x:c>
      <x:c r="E24" s="9" t="str">
        <x:v>IRN (mm)</x:v>
      </x:c>
      <x:c r="F24" s="59"/>
      <x:c r="G24" s="59"/>
      <x:c r="H24" s="59"/>
      <x:c r="I24" s="59"/>
      <x:c r="J24" s="59"/>
      <x:c r="K24" s="59"/>
      <x:c r="L24" s="59"/>
      <x:c r="M24" s="59"/>
      <x:c r="N24" s="59"/>
    </x:row>
    <x:row r="25" ht="15" hidden="0" customHeight="1">
      <x:c r="A25" s="12" t="n">
        <x:v>0</x:v>
      </x:c>
      <x:c r="B25" s="41" t="n">
        <x:f>0</x:f>
        <x:v>0</x:v>
      </x:c>
      <x:c r="C25" s="41" t="n">
        <x:f>$I$8-B25</x:f>
        <x:v>220</x:v>
      </x:c>
      <x:c r="D25" s="41" t="n">
        <x:f>$C$20*C25^0.554</x:f>
        <x:v>56.16795352770608</x:v>
      </x:c>
      <x:c r="E25" s="41" t="n">
        <x:f>$C$11</x:f>
        <x:v>42</x:v>
      </x:c>
      <x:c r="F25" s="59"/>
      <x:c r="G25" s="59"/>
      <x:c r="H25" s="59"/>
      <x:c r="I25" s="59"/>
      <x:c r="J25" s="59"/>
      <x:c r="K25" s="59"/>
      <x:c r="L25" s="59"/>
      <x:c r="M25" s="59"/>
      <x:c r="N25" s="59"/>
    </x:row>
    <x:row r="26" ht="15" hidden="0" customHeight="1">
      <x:c r="A26" s="13" t="n">
        <x:v>20</x:v>
      </x:c>
      <x:c r="B26" s="42" t="n">
        <x:f>(35/(100^(LN(90/35)/LN(2))))*A26^(LN(90/35)/LN(2))</x:f>
        <x:v>3.9054621219542134</x:v>
      </x:c>
      <x:c r="C26" s="42" t="n">
        <x:f>$I$8-B26</x:f>
        <x:v>216.0945378780458</x:v>
      </x:c>
      <x:c r="D26" s="42" t="n">
        <x:f>$C$20*C26^0.554</x:f>
        <x:v>55.61335490881641</x:v>
      </x:c>
      <x:c r="E26" s="42" t="n">
        <x:f>$C$11</x:f>
        <x:v>42</x:v>
      </x:c>
      <x:c r="F26" s="59"/>
      <x:c r="G26" s="59"/>
      <x:c r="H26" s="59"/>
      <x:c r="I26" s="59"/>
      <x:c r="J26" s="59"/>
      <x:c r="K26" s="59"/>
      <x:c r="L26" s="59"/>
      <x:c r="M26" s="59"/>
      <x:c r="N26" s="59"/>
    </x:row>
    <x:row r="27" ht="15" hidden="0" customHeight="1">
      <x:c r="A27" s="13" t="n">
        <x:v>40</x:v>
      </x:c>
      <x:c r="B27" s="42" t="n">
        <x:f>(35/(100^(LN(90/35)/LN(2))))*A27^(LN(90/35)/LN(2))</x:f>
        <x:v>10.042616885025122</x:v>
      </x:c>
      <x:c r="C27" s="42" t="n">
        <x:f>$I$8-B27</x:f>
        <x:v>209.95738311497487</x:v>
      </x:c>
      <x:c r="D27" s="42" t="n">
        <x:f>$C$20*C27^0.554</x:f>
        <x:v>54.732727795081566</x:v>
      </x:c>
      <x:c r="E27" s="42" t="n">
        <x:f>$C$11</x:f>
        <x:v>42</x:v>
      </x:c>
      <x:c r="F27" s="59"/>
      <x:c r="G27" s="59"/>
      <x:c r="H27" s="59"/>
      <x:c r="I27" s="59"/>
      <x:c r="J27" s="59"/>
      <x:c r="K27" s="59"/>
      <x:c r="L27" s="59"/>
      <x:c r="M27" s="59"/>
      <x:c r="N27" s="59"/>
    </x:row>
    <x:row r="28" ht="15" hidden="0" customHeight="1">
      <x:c r="A28" s="13" t="n">
        <x:v>60</x:v>
      </x:c>
      <x:c r="B28" s="42" t="n">
        <x:f>(35/(100^(LN(90/35)/LN(2))))*A28^(LN(90/35)/LN(2))</x:f>
        <x:v>17.449523658398018</x:v>
      </x:c>
      <x:c r="C28" s="42" t="n">
        <x:f>$I$8-B28</x:f>
        <x:v>202.55047634160198</x:v>
      </x:c>
      <x:c r="D28" s="42" t="n">
        <x:f>$C$20*C28^0.554</x:f>
        <x:v>53.6544647143536</x:v>
      </x:c>
      <x:c r="E28" s="42" t="n">
        <x:f>$C$11</x:f>
        <x:v>42</x:v>
      </x:c>
      <x:c r="F28" s="59"/>
      <x:c r="G28" s="59"/>
      <x:c r="H28" s="59"/>
      <x:c r="I28" s="59"/>
      <x:c r="J28" s="59"/>
      <x:c r="K28" s="59"/>
      <x:c r="L28" s="59"/>
      <x:c r="M28" s="59"/>
      <x:c r="N28" s="59"/>
    </x:row>
    <x:row r="29" ht="15" hidden="0" customHeight="1">
      <x:c r="A29" s="13" t="n">
        <x:v>80</x:v>
      </x:c>
      <x:c r="B29" s="42" t="n">
        <x:f>(35/(100^(LN(90/35)/LN(2))))*A29^(LN(90/35)/LN(2))</x:f>
        <x:v>25.823871990064603</x:v>
      </x:c>
      <x:c r="C29" s="42" t="n">
        <x:f>$I$8-B29</x:f>
        <x:v>194.17612800993538</x:v>
      </x:c>
      <x:c r="D29" s="42" t="n">
        <x:f>$C$20*C29^0.554</x:f>
        <x:v>52.413954707919</x:v>
      </x:c>
      <x:c r="E29" s="42" t="n">
        <x:f>$C$11</x:f>
        <x:v>42</x:v>
      </x:c>
      <x:c r="F29" s="59"/>
      <x:c r="G29" s="59"/>
      <x:c r="H29" s="59"/>
      <x:c r="I29" s="59"/>
      <x:c r="J29" s="59"/>
      <x:c r="K29" s="59"/>
      <x:c r="L29" s="59"/>
      <x:c r="M29" s="59"/>
      <x:c r="N29" s="59"/>
    </x:row>
    <x:row r="30" ht="15" hidden="0" customHeight="1">
      <x:c r="A30" s="13" t="n">
        <x:v>100</x:v>
      </x:c>
      <x:c r="B30" s="42" t="n">
        <x:f>35</x:f>
        <x:v>35</x:v>
      </x:c>
      <x:c r="C30" s="42" t="n">
        <x:f>$I$8-B30</x:f>
        <x:v>185</x:v>
      </x:c>
      <x:c r="D30" s="42" t="n">
        <x:f>$C$20*C30^0.554</x:f>
        <x:v>51.02694562302856</x:v>
      </x:c>
      <x:c r="E30" s="42" t="n">
        <x:f>$C$11</x:f>
        <x:v>42</x:v>
      </x:c>
      <x:c r="F30" s="59"/>
      <x:c r="G30" s="59"/>
      <x:c r="H30" s="59"/>
      <x:c r="I30" s="59"/>
      <x:c r="J30" s="59"/>
      <x:c r="K30" s="59"/>
      <x:c r="L30" s="59"/>
      <x:c r="M30" s="59"/>
      <x:c r="N30" s="59"/>
    </x:row>
    <x:row r="31" ht="15" hidden="0" customHeight="1">
      <x:c r="A31" s="13" t="n">
        <x:v>120</x:v>
      </x:c>
      <x:c r="B31" s="42" t="n">
        <x:f>(35/(100^(LN(90/35)/LN(2))))*A31^(LN(90/35)/LN(2))</x:f>
        <x:v>44.87020369302348</x:v>
      </x:c>
      <x:c r="C31" s="42" t="n">
        <x:f>$I$8-B31</x:f>
        <x:v>175.12979630697652</x:v>
      </x:c>
      <x:c r="D31" s="42" t="n">
        <x:f>$C$20*C31^0.554</x:f>
        <x:v>49.500307759906974</x:v>
      </x:c>
      <x:c r="E31" s="42" t="n">
        <x:f>$C$11</x:f>
        <x:v>42</x:v>
      </x:c>
      <x:c r="F31" s="59"/>
      <x:c r="G31" s="59"/>
      <x:c r="H31" s="59"/>
      <x:c r="I31" s="59"/>
      <x:c r="J31" s="59"/>
      <x:c r="K31" s="59"/>
      <x:c r="L31" s="59"/>
      <x:c r="M31" s="59"/>
      <x:c r="N31" s="59"/>
    </x:row>
    <x:row r="32" ht="15" hidden="0" customHeight="1">
      <x:c r="A32" s="13" t="n">
        <x:v>140</x:v>
      </x:c>
      <x:c r="B32" s="42" t="n">
        <x:f>(35/(100^(LN(90/35)/LN(2))))*A32^(LN(90/35)/LN(2))</x:f>
        <x:v>55.357661219152476</x:v>
      </x:c>
      <x:c r="C32" s="42" t="n">
        <x:f>$I$8-B32</x:f>
        <x:v>164.64233878084752</x:v>
      </x:c>
      <x:c r="D32" s="42" t="n">
        <x:f>$C$20*C32^0.554</x:f>
        <x:v>47.83551360758173</x:v>
      </x:c>
      <x:c r="E32" s="42" t="n">
        <x:f>$C$11</x:f>
        <x:v>42</x:v>
      </x:c>
      <x:c r="F32" s="59"/>
      <x:c r="G32" s="59"/>
      <x:c r="H32" s="59"/>
      <x:c r="I32" s="59"/>
      <x:c r="J32" s="59"/>
      <x:c r="K32" s="59"/>
      <x:c r="L32" s="59"/>
      <x:c r="M32" s="59"/>
      <x:c r="N32" s="59"/>
    </x:row>
    <x:row r="33" ht="15" hidden="0" customHeight="1">
      <x:c r="A33" s="13" t="n">
        <x:v>160</x:v>
      </x:c>
      <x:c r="B33" s="42" t="n">
        <x:f>(35/(100^(LN(90/35)/LN(2))))*A33^(LN(90/35)/LN(2))</x:f>
        <x:v>66.40424226016613</x:v>
      </x:c>
      <x:c r="C33" s="42" t="n">
        <x:f>$I$8-B33</x:f>
        <x:v>153.59575773983386</x:v>
      </x:c>
      <x:c r="D33" s="42" t="n">
        <x:f>$C$20*C33^0.554</x:f>
        <x:v>46.02995219463761</x:v>
      </x:c>
      <x:c r="E33" s="42" t="n">
        <x:f>$C$11</x:f>
        <x:v>42</x:v>
      </x:c>
      <x:c r="F33" s="59"/>
      <x:c r="G33" s="59"/>
      <x:c r="H33" s="59"/>
      <x:c r="I33" s="59"/>
      <x:c r="J33" s="59"/>
      <x:c r="K33" s="59"/>
      <x:c r="L33" s="59"/>
      <x:c r="M33" s="59"/>
      <x:c r="N33" s="59"/>
    </x:row>
    <x:row r="34" ht="15" hidden="0" customHeight="1">
      <x:c r="A34" s="13" t="n">
        <x:v>180</x:v>
      </x:c>
      <x:c r="B34" s="42" t="n">
        <x:f>(35/(100^(LN(90/35)/LN(2))))*A34^(LN(90/35)/LN(2))</x:f>
        <x:v>77.964109341466</x:v>
      </x:c>
      <x:c r="C34" s="42" t="n">
        <x:f>$I$8-B34</x:f>
        <x:v>142.03589065853402</x:v>
      </x:c>
      <x:c r="D34" s="42" t="n">
        <x:f>$C$20*C34^0.554</x:f>
        <x:v>44.07729988064071</x:v>
      </x:c>
      <x:c r="E34" s="42" t="n">
        <x:f>$C$11</x:f>
        <x:v>42</x:v>
      </x:c>
      <x:c r="F34" s="59"/>
      <x:c r="G34" s="59"/>
      <x:c r="H34" s="59"/>
      <x:c r="I34" s="59"/>
      <x:c r="J34" s="59"/>
      <x:c r="K34" s="59"/>
      <x:c r="L34" s="59"/>
      <x:c r="M34" s="59"/>
      <x:c r="N34" s="59"/>
    </x:row>
    <x:row r="35" ht="15" hidden="0" customHeight="1">
      <x:c r="A35" s="14" t="n">
        <x:v>200</x:v>
      </x:c>
      <x:c r="B35" s="43" t="n">
        <x:f>90</x:f>
        <x:v>90</x:v>
      </x:c>
      <x:c r="C35" s="43" t="n">
        <x:f>$I$8-B35</x:f>
        <x:v>130</x:v>
      </x:c>
      <x:c r="D35" s="43" t="n">
        <x:f>$C$20*C35^0.554</x:f>
        <x:v>41.96730224931663</x:v>
      </x:c>
      <x:c r="E35" s="43" t="n">
        <x:f>$C$11</x:f>
        <x:v>42</x:v>
      </x:c>
      <x:c r="F35" s="59"/>
      <x:c r="G35" s="59"/>
      <x:c r="H35" s="59"/>
      <x:c r="I35" s="59"/>
      <x:c r="J35" s="59"/>
      <x:c r="K35" s="59"/>
      <x:c r="L35" s="59"/>
      <x:c r="M35" s="59"/>
      <x:c r="N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</x:row>
    <x:row r="38" ht="15" hidden="0" customHeight="1">
      <x:c r="A38" s="29" t="str">
        <x:v>Gráficos recomendados</x:v>
      </x:c>
      <x:c r="B38" s="30" t="str">
        <x:v>Gráficos recomendados</x:v>
      </x:c>
      <x:c r="C38" s="30" t="str">
        <x:v>Gráficos recomendados</x:v>
      </x:c>
      <x:c r="D38" s="30" t="str">
        <x:v>Gráficos recomendados</x:v>
      </x:c>
      <x:c r="E38" s="31" t="str">
        <x:v>Gráficos recomendados</x:v>
      </x:c>
      <x:c r="F38" s="59"/>
      <x:c r="G38" s="59"/>
      <x:c r="H38" s="59"/>
      <x:c r="I38" s="59"/>
      <x:c r="J38" s="59"/>
      <x:c r="K38" s="59"/>
      <x:c r="L38" s="59"/>
      <x:c r="M38" s="59"/>
      <x:c r="N38" s="59"/>
    </x:row>
    <x:row r="39" ht="15" hidden="0" customHeight="1">
      <x:c r="A39" s="9" t="str">
        <x:v>Prioridade</x:v>
      </x:c>
      <x:c r="B39" s="9" t="str">
        <x:v>Gráfico</x:v>
      </x:c>
      <x:c r="C39" s="9" t="str">
        <x:v>Eixo X</x:v>
      </x:c>
      <x:c r="D39" s="9" t="str">
        <x:v>Eixo Y</x:v>
      </x:c>
      <x:c r="E39" s="9" t="str">
        <x:v>Uso</x:v>
      </x:c>
      <x:c r="F39" s="59"/>
      <x:c r="G39" s="59"/>
      <x:c r="H39" s="59"/>
      <x:c r="I39" s="59"/>
      <x:c r="J39" s="59"/>
      <x:c r="K39" s="59"/>
      <x:c r="L39" s="59"/>
      <x:c r="M39" s="59"/>
      <x:c r="N39" s="59"/>
    </x:row>
    <x:row r="40" ht="15" hidden="0" customHeight="1">
      <x:c r="A40" s="12" t="n">
        <x:v>1</x:v>
      </x:c>
      <x:c r="B40" s="12" t="str">
        <x:v>Curvas de avanço por vazão</x:v>
      </x:c>
      <x:c r="C40" s="12" t="str">
        <x:v>Distância (m)</x:v>
      </x:c>
      <x:c r="D40" s="12" t="str">
        <x:v>Tempo (min)</x:v>
      </x:c>
      <x:c r="E40" s="12" t="str">
        <x:v>Comparar rapidez de avanço e risco de desuniformidade</x:v>
      </x:c>
      <x:c r="F40" s="59"/>
      <x:c r="G40" s="59"/>
      <x:c r="H40" s="59"/>
      <x:c r="I40" s="59"/>
      <x:c r="J40" s="59"/>
      <x:c r="K40" s="59"/>
      <x:c r="L40" s="59"/>
      <x:c r="M40" s="59"/>
      <x:c r="N40" s="59"/>
    </x:row>
    <x:row r="41" ht="15" hidden="0" customHeight="1">
      <x:c r="A41" s="13" t="n">
        <x:v>2</x:v>
      </x:c>
      <x:c r="B41" s="13" t="str">
        <x:v>Perfil de lâmina</x:v>
      </x:c>
      <x:c r="C41" s="13" t="str">
        <x:v>Distância (m)</x:v>
      </x:c>
      <x:c r="D41" s="13" t="str">
        <x:v>Lâmina infiltrada (mm)</x:v>
      </x:c>
      <x:c r="E41" s="13" t="str">
        <x:v>Ver excesso no início e déficit no final</x:v>
      </x:c>
      <x:c r="F41" s="59"/>
      <x:c r="G41" s="59"/>
      <x:c r="H41" s="59"/>
      <x:c r="I41" s="59"/>
      <x:c r="J41" s="59"/>
      <x:c r="K41" s="59"/>
      <x:c r="L41" s="59"/>
      <x:c r="M41" s="59"/>
      <x:c r="N41" s="59"/>
    </x:row>
    <x:row r="42" ht="15" hidden="0" customHeight="1">
      <x:c r="A42" s="13" t="n">
        <x:v>3</x:v>
      </x:c>
      <x:c r="B42" s="13" t="str">
        <x:v>Desempenho por vazão</x:v>
      </x:c>
      <x:c r="C42" s="13" t="str">
        <x:v>Vazão (L/s)</x:v>
      </x:c>
      <x:c r="D42" s="13" t="str">
        <x:v>Ea, Ed, Pp e Pe (%)</x:v>
      </x:c>
      <x:c r="E42" s="13" t="str">
        <x:v>Escolher vazão e manejo</x:v>
      </x:c>
      <x:c r="F42" s="59"/>
      <x:c r="G42" s="59"/>
      <x:c r="H42" s="59"/>
      <x:c r="I42" s="59"/>
      <x:c r="J42" s="59"/>
      <x:c r="K42" s="59"/>
      <x:c r="L42" s="59"/>
      <x:c r="M42" s="59"/>
      <x:c r="N42" s="59"/>
    </x:row>
    <x:row r="43" ht="15" hidden="0" customHeight="1">
      <x:c r="A43" s="14" t="n">
        <x:v>4</x:v>
      </x:c>
      <x:c r="B43" s="14" t="str">
        <x:v>Fases da irrigação</x:v>
      </x:c>
      <x:c r="C43" s="14" t="str">
        <x:v>Distância (m)</x:v>
      </x:c>
      <x:c r="D43" s="14" t="str">
        <x:v>Ta e Tr/Ti (min)</x:v>
      </x:c>
      <x:c r="E43" s="14" t="str">
        <x:v>Visualizar o tempo de oportunidade</x:v>
      </x:c>
      <x:c r="F43" s="59"/>
      <x:c r="G43" s="59"/>
      <x:c r="H43" s="59"/>
      <x:c r="I43" s="59"/>
      <x:c r="J43" s="59"/>
      <x:c r="K43" s="59"/>
      <x:c r="L43" s="59"/>
      <x:c r="M43" s="59"/>
      <x:c r="N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</x:row>
    <x:row r="46" ht="92.4000015258789" hidden="0" customHeight="1">
      <x:c r="A46" s="60" t="str">
        <x:v>Alerta</x:v>
      </x:c>
      <x:c r="B46" s="61" t="str">
        <x:v>O exemplo da aula reporta Ea = 66% com redução para 0,75 L/s, mas a fórmula usa 110 min de vazão inicial e 110 min de vazão reduzida, enquanto o quadro-resumo informa 90 min + 20 min. Validar o cronograma antes de reutilizar o resultado.</x:v>
      </x:c>
      <x:c r="C46" s="61"/>
      <x:c r="D46" s="61"/>
      <x:c r="E46" s="61"/>
      <x:c r="F46" s="61"/>
      <x:c r="G46" s="61"/>
      <x:c r="H46" s="61"/>
      <x:c r="I46" s="61"/>
      <x:c r="J46" s="61"/>
      <x:c r="K46" s="61"/>
      <x:c r="L46" s="61"/>
      <x:c r="M46" s="61"/>
      <x:c r="N46" s="61"/>
    </x:row>
    <x:row r="47" ht="15" hidden="0" customHeight="1">
      <x:c r="A47" s="59"/>
      <x:c r="B47" s="61"/>
      <x:c r="C47" s="61"/>
      <x:c r="D47" s="61"/>
      <x:c r="E47" s="61"/>
      <x:c r="F47" s="61"/>
      <x:c r="G47" s="61"/>
      <x:c r="H47" s="61"/>
      <x:c r="I47" s="61"/>
      <x:c r="J47" s="61"/>
      <x:c r="K47" s="61"/>
      <x:c r="L47" s="61"/>
      <x:c r="M47" s="61"/>
      <x:c r="N47" s="61"/>
    </x:row>
    <x:row r="48"/>
    <x:row r="49"/>
    <x:row r="50"/>
  </x:sheetData>
  <x:pageMargins left="0.7" right="0.7" top="0.75" bottom="0.75" header="0.3" footer="0.3"/>
  <x:drawing xmlns:r="http://schemas.openxmlformats.org/officeDocument/2006/relationships" r:id="Rb3888d5f55c348bc"/>
</x:worksheet>
</file>

<file path=xl/worksheets/sheet3.xml><?xml version="1.0" encoding="utf-8"?>
<x:worksheet xmlns:x="http://schemas.openxmlformats.org/spreadsheetml/2006/main">
  <x:sheetPr>
    <x:tabColor rgb="FF0F6B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9" hidden="0" customWidth="1"/>
    <x:col min="4" max="4" width="16" hidden="0" customWidth="1"/>
    <x:col min="5" max="5" width="16" hidden="0" customWidth="1"/>
    <x:col min="6" max="6" width="12" hidden="0" customWidth="1"/>
    <x:col min="7" max="7" width="28" hidden="0" customWidth="1"/>
    <x:col min="8" max="8" width="52" hidden="0" customWidth="1"/>
    <x:col min="9" max="9" width="18" hidden="0" customWidth="1"/>
    <x:col min="10" max="10" width="28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</x:cols>
  <x:sheetData>
    <x:row r="1"/>
    <x:row r="2" ht="18" hidden="0" customHeight="1">
      <x:c r="A2" s="56" t="str">
        <x:v>Faixas: dados, sequência de cálculo e cenários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</x:row>
    <x:row r="3" ht="15" hidden="0" customHeight="1">
      <x:c r="A3" s="58" t="str">
        <x:v>Valores extraídos da planilha Projeto faixas - Dimensionamento exemplo.xlsx.</x:v>
      </x:c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</x:row>
    <x:row r="4">
      <x:c r="A4" s="59"/>
      <x:c r="B4" s="59"/>
      <x:c r="C4" s="59"/>
      <x:c r="D4" s="59"/>
      <x:c r="E4" s="59"/>
      <x:c r="F4" s="59"/>
      <x:c r="G4" s="59"/>
      <x:c r="H4" s="59"/>
      <x:c r="I4" s="59"/>
      <x:c r="J4" s="59"/>
      <x:c r="K4" s="59"/>
      <x:c r="L4" s="59"/>
      <x:c r="M4" s="59"/>
      <x:c r="N4" s="59"/>
    </x:row>
    <x:row r="5" ht="15" hidden="0" customHeight="1">
      <x:c r="A5" s="29" t="str">
        <x:v>Dados necessários</x:v>
      </x:c>
      <x:c r="B5" s="30" t="str">
        <x:v>Dados necessários</x:v>
      </x:c>
      <x:c r="C5" s="30" t="str">
        <x:v>Dados necessários</x:v>
      </x:c>
      <x:c r="D5" s="31" t="str">
        <x:v>Dados necessários</x:v>
      </x:c>
      <x:c r="E5" s="59"/>
      <x:c r="F5" s="29" t="str">
        <x:v>Cálculos que devem ser executados</x:v>
      </x:c>
      <x:c r="G5" s="30" t="str">
        <x:v>Cálculos que devem ser executados</x:v>
      </x:c>
      <x:c r="H5" s="30" t="str">
        <x:v>Cálculos que devem ser executados</x:v>
      </x:c>
      <x:c r="I5" s="30" t="str">
        <x:v>Cálculos que devem ser executados</x:v>
      </x:c>
      <x:c r="J5" s="31" t="str">
        <x:v>Cálculos que devem ser executados</x:v>
      </x:c>
      <x:c r="K5" s="59"/>
      <x:c r="L5" s="59"/>
      <x:c r="M5" s="59"/>
      <x:c r="N5" s="59"/>
    </x:row>
    <x:row r="6" ht="15" hidden="0" customHeight="1">
      <x:c r="A6" s="9" t="str">
        <x:v>Símbolo</x:v>
      </x:c>
      <x:c r="B6" s="9" t="str">
        <x:v>Dado</x:v>
      </x:c>
      <x:c r="C6" s="9" t="str">
        <x:v>Exemplo</x:v>
      </x:c>
      <x:c r="D6" s="9" t="str">
        <x:v>Unidade</x:v>
      </x:c>
      <x:c r="E6" s="59"/>
      <x:c r="F6" s="9" t="str">
        <x:v>Etapa</x:v>
      </x:c>
      <x:c r="G6" s="9" t="str">
        <x:v>Resultado</x:v>
      </x:c>
      <x:c r="H6" s="9" t="str">
        <x:v>Fórmula / método</x:v>
      </x:c>
      <x:c r="I6" s="9" t="str">
        <x:v>Unidade</x:v>
      </x:c>
      <x:c r="J6" s="9" t="str">
        <x:v>Checagem</x:v>
      </x:c>
      <x:c r="K6" s="59"/>
      <x:c r="L6" s="59"/>
      <x:c r="M6" s="59"/>
      <x:c r="N6" s="59"/>
    </x:row>
    <x:row r="7" ht="15" hidden="0" customHeight="1">
      <x:c r="A7" s="12" t="str">
        <x:v>k1 / k3</x:v>
      </x:c>
      <x:c r="B7" s="12" t="str">
        <x:v>Coeficientes de Kostiakov, 1ª e 3ª irrigação</x:v>
      </x:c>
      <x:c r="C7" s="12" t="str">
        <x:v>0,0035 / 0,0034</x:v>
      </x:c>
      <x:c r="D7" s="12" t="str">
        <x:v>m³/min</x:v>
      </x:c>
      <x:c r="E7" s="59"/>
      <x:c r="F7" s="12" t="n">
        <x:v>1</x:v>
      </x:c>
      <x:c r="G7" s="12" t="str">
        <x:v>Qmáx por unidade de largura</x:v>
      </x:c>
      <x:c r="H7" s="12" t="str">
        <x:v>Qmáx = [(Vmáx^p2)·(n²/(3600·S0·p1))]^(1/(p2−2))</x:v>
      </x:c>
      <x:c r="I7" s="12" t="str">
        <x:v>m³/min/m</x:v>
      </x:c>
      <x:c r="J7" s="12" t="str">
        <x:v>Próxima da não erosiva</x:v>
      </x:c>
      <x:c r="K7" s="59"/>
      <x:c r="L7" s="59"/>
      <x:c r="M7" s="59"/>
      <x:c r="N7" s="59"/>
    </x:row>
    <x:row r="8" ht="15" hidden="0" customHeight="1">
      <x:c r="A8" s="13" t="str">
        <x:v>a1 / a3</x:v>
      </x:c>
      <x:c r="B8" s="13" t="str">
        <x:v>Expoentes de Kostiakov</x:v>
      </x:c>
      <x:c r="C8" s="13" t="str">
        <x:v>0,47 / 0,45</x:v>
      </x:c>
      <x:c r="D8" s="13" t="str">
        <x:v>-</x:v>
      </x:c>
      <x:c r="E8" s="59"/>
      <x:c r="F8" s="13" t="n">
        <x:v>2</x:v>
      </x:c>
      <x:c r="G8" s="13" t="str">
        <x:v>Comprimento preliminar</x:v>
      </x:c>
      <x:c r="H8" s="13" t="str">
        <x:v>L ≤ Qmáx/VIB</x:v>
      </x:c>
      <x:c r="I8" s="13" t="str">
        <x:v>m</x:v>
      </x:c>
      <x:c r="J8" s="13" t="str">
        <x:v>Arredondar para submúltiplo da área</x:v>
      </x:c>
      <x:c r="K8" s="59"/>
      <x:c r="L8" s="59"/>
      <x:c r="M8" s="59"/>
      <x:c r="N8" s="59"/>
    </x:row>
    <x:row r="9" ht="15" hidden="0" customHeight="1">
      <x:c r="A9" s="13" t="str">
        <x:v>VIB1 / VIB3</x:v>
      </x:c>
      <x:c r="B9" s="13" t="str">
        <x:v>Velocidades de infiltração básica</x:v>
      </x:c>
      <x:c r="C9" s="13" t="str">
        <x:v>0,00011 / 0,00010</x:v>
      </x:c>
      <x:c r="D9" s="13" t="str">
        <x:v>m³/min/m</x:v>
      </x:c>
      <x:c r="E9" s="59"/>
      <x:c r="F9" s="13" t="n">
        <x:v>3</x:v>
      </x:c>
      <x:c r="G9" s="13" t="str">
        <x:v>Tempo de oportunidade</x:v>
      </x:c>
      <x:c r="H9" s="13" t="str">
        <x:v>Resolver IRN = k·to^a + VIB·to por Newton-Raphson</x:v>
      </x:c>
      <x:c r="I9" s="13" t="str">
        <x:v>min</x:v>
      </x:c>
      <x:c r="J9" s="13" t="str">
        <x:v>Convergência e IRN atendida</x:v>
      </x:c>
      <x:c r="K9" s="59"/>
      <x:c r="L9" s="59"/>
      <x:c r="M9" s="59"/>
      <x:c r="N9" s="59"/>
    </x:row>
    <x:row r="10" ht="15" hidden="0" customHeight="1">
      <x:c r="A10" s="13" t="str">
        <x:v>W × L</x:v>
      </x:c>
      <x:c r="B10" s="13" t="str">
        <x:v>Largura e comprimento da área</x:v>
      </x:c>
      <x:c r="C10" s="13" t="str">
        <x:v>400 × 400</x:v>
      </x:c>
      <x:c r="D10" s="13" t="str">
        <x:v>m</x:v>
      </x:c>
      <x:c r="E10" s="59"/>
      <x:c r="F10" s="13" t="n">
        <x:v>4</x:v>
      </x:c>
      <x:c r="G10" s="13" t="str">
        <x:v>Tempo de avanço</x:v>
      </x:c>
      <x:c r="H10" s="13" t="str">
        <x:v>Balanço volumétrico + Newton-Raphson para ta e r</x:v>
      </x:c>
      <x:c r="I10" s="13" t="str">
        <x:v>min</x:v>
      </x:c>
      <x:c r="J10" s="13" t="str">
        <x:v>A solução deve convergir</x:v>
      </x:c>
      <x:c r="K10" s="59"/>
      <x:c r="L10" s="59"/>
      <x:c r="M10" s="59"/>
      <x:c r="N10" s="59"/>
    </x:row>
    <x:row r="11" ht="15" hidden="0" customHeight="1">
      <x:c r="A11" s="13" t="str">
        <x:v>S0</x:v>
      </x:c>
      <x:c r="B11" s="13" t="str">
        <x:v>Declividade longitudinal</x:v>
      </x:c>
      <x:c r="C11" s="13" t="n">
        <x:v>0.1</x:v>
      </x:c>
      <x:c r="D11" s="13" t="str">
        <x:v>%</x:v>
      </x:c>
      <x:c r="E11" s="59"/>
      <x:c r="F11" s="13" t="n">
        <x:v>5</x:v>
      </x:c>
      <x:c r="G11" s="13" t="str">
        <x:v>Profundidade na entrada</x:v>
      </x:c>
      <x:c r="H11" s="13" t="str">
        <x:v>y0 = [(Q0²·n²)/(3600·S0)]^0,3</x:v>
      </x:c>
      <x:c r="I11" s="13" t="str">
        <x:v>m</x:v>
      </x:c>
      <x:c r="J11" s="13" t="str">
        <x:v>Não exceder diques</x:v>
      </x:c>
      <x:c r="K11" s="59"/>
      <x:c r="L11" s="59"/>
      <x:c r="M11" s="59"/>
      <x:c r="N11" s="59"/>
    </x:row>
    <x:row r="12" ht="15" hidden="0" customHeight="1">
      <x:c r="A12" s="13" t="str">
        <x:v>n</x:v>
      </x:c>
      <x:c r="B12" s="13" t="str">
        <x:v>Rugosidade de Manning</x:v>
      </x:c>
      <x:c r="C12" s="13" t="n">
        <x:v>0.04</x:v>
      </x:c>
      <x:c r="D12" s="13" t="str">
        <x:v>-</x:v>
      </x:c>
      <x:c r="E12" s="59"/>
      <x:c r="F12" s="13" t="n">
        <x:v>6</x:v>
      </x:c>
      <x:c r="G12" s="13" t="str">
        <x:v>Tempo de recessão</x:v>
      </x:c>
      <x:c r="H12" s="13" t="str">
        <x:v>tr = ti = to + ta, inicialmente</x:v>
      </x:c>
      <x:c r="I12" s="13" t="str">
        <x:v>min</x:v>
      </x:c>
      <x:c r="J12" s="13" t="str">
        <x:v>td e tr coerentes</x:v>
      </x:c>
      <x:c r="K12" s="59"/>
      <x:c r="L12" s="59"/>
      <x:c r="M12" s="59"/>
      <x:c r="N12" s="59"/>
    </x:row>
    <x:row r="13" ht="15" hidden="0" customHeight="1">
      <x:c r="A13" s="13" t="str">
        <x:v>IRN</x:v>
      </x:c>
      <x:c r="B13" s="13" t="str">
        <x:v>Irrigação real necessária</x:v>
      </x:c>
      <x:c r="C13" s="13" t="n">
        <x:v>56</x:v>
      </x:c>
      <x:c r="D13" s="13" t="str">
        <x:v>mm</x:v>
      </x:c>
      <x:c r="E13" s="59"/>
      <x:c r="F13" s="13" t="n">
        <x:v>7</x:v>
      </x:c>
      <x:c r="G13" s="13" t="str">
        <x:v>Tempo de depleção</x:v>
      </x:c>
      <x:c r="H13" s="13" t="str">
        <x:v>Iteração com VIM e Sy</x:v>
      </x:c>
      <x:c r="I13" s="13" t="str">
        <x:v>min</x:v>
      </x:c>
      <x:c r="J13" s="13" t="str">
        <x:v>td(i) ≈ td(i+1)</x:v>
      </x:c>
      <x:c r="K13" s="59"/>
      <x:c r="L13" s="59"/>
      <x:c r="M13" s="59"/>
      <x:c r="N13" s="59"/>
    </x:row>
    <x:row r="14" ht="15" hidden="0" customHeight="1">
      <x:c r="A14" s="13" t="str">
        <x:v>ETc</x:v>
      </x:c>
      <x:c r="B14" s="13" t="str">
        <x:v>Evapotranspiração da cultura</x:v>
      </x:c>
      <x:c r="C14" s="13" t="n">
        <x:v>8</x:v>
      </x:c>
      <x:c r="D14" s="13" t="str">
        <x:v>mm/dia</x:v>
      </x:c>
      <x:c r="E14" s="59"/>
      <x:c r="F14" s="13" t="n">
        <x:v>8</x:v>
      </x:c>
      <x:c r="G14" s="13" t="str">
        <x:v>Tempo de irrigação</x:v>
      </x:c>
      <x:c r="H14" s="13" t="str">
        <x:v>ti = td − y0·L/(2·Q0)</x:v>
      </x:c>
      <x:c r="I14" s="13" t="str">
        <x:v>min</x:v>
      </x:c>
      <x:c r="J14" s="13" t="str">
        <x:v>ti &gt; 0</x:v>
      </x:c>
      <x:c r="K14" s="59"/>
      <x:c r="L14" s="59"/>
      <x:c r="M14" s="59"/>
      <x:c r="N14" s="59"/>
    </x:row>
    <x:row r="15" ht="15" hidden="0" customHeight="1">
      <x:c r="A15" s="13" t="str">
        <x:v>Qt</x:v>
      </x:c>
      <x:c r="B15" s="13" t="str">
        <x:v>Vazão total disponível</x:v>
      </x:c>
      <x:c r="C15" s="13" t="n">
        <x:v>400</x:v>
      </x:c>
      <x:c r="D15" s="13" t="str">
        <x:v>L/s</x:v>
      </x:c>
      <x:c r="E15" s="59"/>
      <x:c r="F15" s="13" t="n">
        <x:v>9</x:v>
      </x:c>
      <x:c r="G15" s="13" t="str">
        <x:v>Eficiência de aplicação</x:v>
      </x:c>
      <x:c r="H15" s="13" t="str">
        <x:v>Ea = IRN·L/(Q0·ti)·100</x:v>
      </x:c>
      <x:c r="I15" s="13" t="str">
        <x:v>%</x:v>
      </x:c>
      <x:c r="J15" s="13" t="str">
        <x:v>Maximizar</x:v>
      </x:c>
      <x:c r="K15" s="59"/>
      <x:c r="L15" s="59"/>
      <x:c r="M15" s="59"/>
      <x:c r="N15" s="59"/>
    </x:row>
    <x:row r="16" ht="15" hidden="0" customHeight="1">
      <x:c r="A16" s="13" t="str">
        <x:v>Vmáx</x:v>
      </x:c>
      <x:c r="B16" s="13" t="str">
        <x:v>Velocidade máxima não erosiva</x:v>
      </x:c>
      <x:c r="C16" s="13" t="n">
        <x:v>8</x:v>
      </x:c>
      <x:c r="D16" s="13" t="str">
        <x:v>m/min</x:v>
      </x:c>
      <x:c r="E16" s="59"/>
      <x:c r="F16" s="13" t="n">
        <x:v>10</x:v>
      </x:c>
      <x:c r="G16" s="13" t="str">
        <x:v>Perfil infiltrado</x:v>
      </x:c>
      <x:c r="H16" s="13" t="str">
        <x:v>to(x)=tr(x)−ta(x); I(x)=k·to^a+VIB·to</x:v>
      </x:c>
      <x:c r="I16" s="13" t="str">
        <x:v>m³/m</x:v>
      </x:c>
      <x:c r="J16" s="13" t="str">
        <x:v>Final deve receber IRN</x:v>
      </x:c>
      <x:c r="K16" s="59"/>
      <x:c r="L16" s="59"/>
      <x:c r="M16" s="59"/>
      <x:c r="N16" s="59"/>
    </x:row>
    <x:row r="17" ht="15" hidden="0" customHeight="1">
      <x:c r="A17" s="13" t="str">
        <x:v>p1 / p2</x:v>
      </x:c>
      <x:c r="B17" s="13" t="str">
        <x:v>Parâmetros hidráulicos</x:v>
      </x:c>
      <x:c r="C17" s="13" t="str">
        <x:v>1 / 3,3</x:v>
      </x:c>
      <x:c r="D17" s="13" t="str">
        <x:v>-</x:v>
      </x:c>
      <x:c r="E17" s="59"/>
      <x:c r="F17" s="13" t="n">
        <x:v>11</x:v>
      </x:c>
      <x:c r="G17" s="13" t="str">
        <x:v>Perdas</x:v>
      </x:c>
      <x:c r="H17" s="13" t="str">
        <x:v>Pp=(Vinf−IRN·L)/(Q0·ti)·100; Pe=100−Ea−Pp</x:v>
      </x:c>
      <x:c r="I17" s="13" t="str">
        <x:v>%</x:v>
      </x:c>
      <x:c r="J17" s="13" t="str">
        <x:v>Sem perdas negativas</x:v>
      </x:c>
      <x:c r="K17" s="59"/>
      <x:c r="L17" s="59"/>
      <x:c r="M17" s="59"/>
      <x:c r="N17" s="59"/>
    </x:row>
    <x:row r="18" ht="15" hidden="0" customHeight="1">
      <x:c r="A18" s="13" t="str">
        <x:v>TDF</x:v>
      </x:c>
      <x:c r="B18" s="13" t="str">
        <x:v>Tempo de funcionamento por dia</x:v>
      </x:c>
      <x:c r="C18" s="13" t="n">
        <x:v>12</x:v>
      </x:c>
      <x:c r="D18" s="13" t="str">
        <x:v>h</x:v>
      </x:c>
      <x:c r="E18" s="59"/>
      <x:c r="F18" s="13" t="n">
        <x:v>12</x:v>
      </x:c>
      <x:c r="G18" s="13" t="str">
        <x:v>Tempo por parcela</x:v>
      </x:c>
      <x:c r="H18" s="13" t="str">
        <x:v>TIP = ti + tmud</x:v>
      </x:c>
      <x:c r="I18" s="13" t="str">
        <x:v>h</x:v>
      </x:c>
      <x:c r="J18" s="13" t="str">
        <x:v>Compatível com TDF</x:v>
      </x:c>
      <x:c r="K18" s="59"/>
      <x:c r="L18" s="59"/>
      <x:c r="M18" s="59"/>
      <x:c r="N18" s="59"/>
    </x:row>
    <x:row r="19" ht="15" hidden="0" customHeight="1">
      <x:c r="A19" s="13" t="str">
        <x:v>tmud</x:v>
      </x:c>
      <x:c r="B19" s="13" t="str">
        <x:v>Tempo de mudança</x:v>
      </x:c>
      <x:c r="C19" s="13" t="n">
        <x:v>30</x:v>
      </x:c>
      <x:c r="D19" s="13" t="str">
        <x:v>min</x:v>
      </x:c>
      <x:c r="E19" s="59"/>
      <x:c r="F19" s="13" t="n">
        <x:v>13</x:v>
      </x:c>
      <x:c r="G19" s="13" t="str">
        <x:v>Área por parcela</x:v>
      </x:c>
      <x:c r="H19" s="13" t="str">
        <x:v>APP = W·L/(NPD·PI)</x:v>
      </x:c>
      <x:c r="I19" s="13" t="str">
        <x:v>m²</x:v>
      </x:c>
      <x:c r="J19" s="13" t="str">
        <x:v>Compatível com a área</x:v>
      </x:c>
      <x:c r="K19" s="59"/>
      <x:c r="L19" s="59"/>
      <x:c r="M19" s="59"/>
      <x:c r="N19" s="59"/>
    </x:row>
    <x:row r="20" ht="15" hidden="0" customHeight="1">
      <x:c r="A20" s="13" t="str">
        <x:v>NFP</x:v>
      </x:c>
      <x:c r="B20" s="13" t="str">
        <x:v>Número de faixas por parcela</x:v>
      </x:c>
      <x:c r="C20" s="13" t="n">
        <x:v>4</x:v>
      </x:c>
      <x:c r="D20" s="13" t="str">
        <x:v>faixas</x:v>
      </x:c>
      <x:c r="E20" s="59"/>
      <x:c r="F20" s="14" t="n">
        <x:v>14</x:v>
      </x:c>
      <x:c r="G20" s="14" t="str">
        <x:v>Vazão do projeto</x:v>
      </x:c>
      <x:c r="H20" s="14" t="str">
        <x:v>Qt = NFP·Wo·Q0</x:v>
      </x:c>
      <x:c r="I20" s="14" t="str">
        <x:v>L/s</x:v>
      </x:c>
      <x:c r="J20" s="14" t="str">
        <x:v>Qt ≤ disponível</x:v>
      </x:c>
      <x:c r="K20" s="59"/>
      <x:c r="L20" s="59"/>
      <x:c r="M20" s="59"/>
      <x:c r="N20" s="59"/>
    </x:row>
    <x:row r="21" ht="15" hidden="0" customHeight="1">
      <x:c r="A21" s="14"/>
      <x:c r="B21" s="14"/>
      <x:c r="C21" s="14"/>
      <x:c r="D21" s="14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</x:row>
    <x:row r="24" ht="15" hidden="0" customHeight="1">
      <x:c r="A24" s="29" t="str">
        <x:v>Cenários completos do exemplo</x:v>
      </x:c>
      <x:c r="B24" s="30" t="str">
        <x:v>Cenários completos do exemplo</x:v>
      </x:c>
      <x:c r="C24" s="30" t="str">
        <x:v>Cenários completos do exemplo</x:v>
      </x:c>
      <x:c r="D24" s="30" t="str">
        <x:v>Cenários completos do exemplo</x:v>
      </x:c>
      <x:c r="E24" s="30" t="str">
        <x:v>Cenários completos do exemplo</x:v>
      </x:c>
      <x:c r="F24" s="30" t="str">
        <x:v>Cenários completos do exemplo</x:v>
      </x:c>
      <x:c r="G24" s="31" t="str">
        <x:v>Cenários completos do exemplo</x:v>
      </x:c>
      <x:c r="H24" s="59"/>
      <x:c r="I24" s="59"/>
      <x:c r="J24" s="59"/>
      <x:c r="K24" s="59"/>
      <x:c r="L24" s="59"/>
      <x:c r="M24" s="59"/>
      <x:c r="N24" s="59"/>
    </x:row>
    <x:row r="25" ht="15" hidden="0" customHeight="1">
      <x:c r="A25" s="9" t="str">
        <x:v>Q0 (L/s/m)</x:v>
      </x:c>
      <x:c r="B25" s="9" t="str">
        <x:v>ta (min)</x:v>
      </x:c>
      <x:c r="C25" s="9" t="str">
        <x:v>td (min)</x:v>
      </x:c>
      <x:c r="D25" s="9" t="str">
        <x:v>ti (min)</x:v>
      </x:c>
      <x:c r="E25" s="9" t="str">
        <x:v>Ea (%)</x:v>
      </x:c>
      <x:c r="F25" s="9" t="str">
        <x:v>Qt projeto (L/s)</x:v>
      </x:c>
      <x:c r="G25" s="9" t="str">
        <x:v>Situação</x:v>
      </x:c>
      <x:c r="H25" s="59"/>
      <x:c r="I25" s="59"/>
      <x:c r="J25" s="59"/>
      <x:c r="K25" s="59"/>
      <x:c r="L25" s="59"/>
      <x:c r="M25" s="59"/>
      <x:c r="N25" s="59"/>
    </x:row>
    <x:row r="26" ht="15" hidden="0" customHeight="1">
      <x:c r="A26" s="38" t="n">
        <x:v>2.1</x:v>
      </x:c>
      <x:c r="B26" s="38" t="n">
        <x:v>191.1945</x:v>
      </x:c>
      <x:c r="C26" s="38" t="n">
        <x:v>315.3111</x:v>
      </x:c>
      <x:c r="D26" s="38" t="n">
        <x:v>270.1019</x:v>
      </x:c>
      <x:c r="E26" s="38" t="n">
        <x:v>65.8188</x:v>
      </x:c>
      <x:c r="F26" s="38" t="n">
        <x:v>420</x:v>
      </x:c>
      <x:c r="G26" s="51" t="str">
        <x:v>Excede Qt disponível</x:v>
      </x:c>
      <x:c r="H26" s="59"/>
      <x:c r="I26" s="59"/>
      <x:c r="J26" s="59"/>
      <x:c r="K26" s="59"/>
      <x:c r="L26" s="59"/>
      <x:c r="M26" s="59"/>
      <x:c r="N26" s="59"/>
    </x:row>
    <x:row r="27" ht="15" hidden="0" customHeight="1">
      <x:c r="A27" s="39" t="n">
        <x:v>1.8</x:v>
      </x:c>
      <x:c r="B27" s="39" t="n">
        <x:v>234.0577</x:v>
      </x:c>
      <x:c r="C27" s="39" t="n">
        <x:v>361.0019</x:v>
      </x:c>
      <x:c r="D27" s="39" t="n">
        <x:v>312.9173</x:v>
      </x:c>
      <x:c r="E27" s="39" t="n">
        <x:v>66.2819</x:v>
      </x:c>
      <x:c r="F27" s="39" t="n">
        <x:v>360</x:v>
      </x:c>
      <x:c r="G27" s="49" t="str">
        <x:v>Melhor cenário viável</x:v>
      </x:c>
      <x:c r="H27" s="59"/>
      <x:c r="I27" s="59"/>
      <x:c r="J27" s="59"/>
      <x:c r="K27" s="59"/>
      <x:c r="L27" s="59"/>
      <x:c r="M27" s="59"/>
      <x:c r="N27" s="59"/>
    </x:row>
    <x:row r="28" ht="15" hidden="0" customHeight="1">
      <x:c r="A28" s="40" t="n">
        <x:v>1.5</x:v>
      </x:c>
      <x:c r="B28" s="40" t="n">
        <x:v>310.2162</x:v>
      </x:c>
      <x:c r="C28" s="40" t="n">
        <x:v>441.5909</x:v>
      </x:c>
      <x:c r="D28" s="40" t="n">
        <x:v>389.8686</x:v>
      </x:c>
      <x:c r="E28" s="40" t="n">
        <x:v>63.8392</x:v>
      </x:c>
      <x:c r="F28" s="40"/>
      <x:c r="G28" s="14" t="str">
        <x:v>Menor eficiência</x:v>
      </x:c>
      <x:c r="H28" s="59"/>
      <x:c r="I28" s="59"/>
      <x:c r="J28" s="59"/>
      <x:c r="K28" s="59"/>
      <x:c r="L28" s="59"/>
      <x:c r="M28" s="59"/>
      <x:c r="N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</x:row>
    <x:row r="31" ht="15" hidden="0" customHeight="1">
      <x:c r="A31" s="29" t="str">
        <x:v>Perfil infiltrado do cenário de 1,8 L/s/m</x:v>
      </x:c>
      <x:c r="B31" s="30" t="str">
        <x:v>Perfil infiltrado do cenário de 1,8 L/s/m</x:v>
      </x:c>
      <x:c r="C31" s="31" t="str">
        <x:v>Perfil infiltrado do cenário de 1,8 L/s/m</x:v>
      </x:c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</x:row>
    <x:row r="32" ht="15" hidden="0" customHeight="1">
      <x:c r="A32" s="9" t="str">
        <x:v>Distância (m)</x:v>
      </x:c>
      <x:c r="B32" s="9" t="str">
        <x:v>Tempo de oportunidade (min)</x:v>
      </x:c>
      <x:c r="C32" s="9" t="str">
        <x:v>Lâmina infiltrada (mm)</x:v>
      </x:c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</x:row>
    <x:row r="33" ht="15" hidden="0" customHeight="1">
      <x:c r="A33" s="12" t="n">
        <x:v>0</x:v>
      </x:c>
      <x:c r="B33" s="41" t="n">
        <x:v>361.0019</x:v>
      </x:c>
      <x:c r="C33" s="41" t="n">
        <x:v>84.2238</x:v>
      </x:c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</x:row>
    <x:row r="34" ht="15" hidden="0" customHeight="1">
      <x:c r="A34" s="13" t="n">
        <x:v>40</x:v>
      </x:c>
      <x:c r="B34" s="42" t="n">
        <x:v>361.7069</x:v>
      </x:c>
      <x:c r="C34" s="42" t="n">
        <x:v>84.3366</x:v>
      </x:c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</x:row>
    <x:row r="35" ht="15" hidden="0" customHeight="1">
      <x:c r="A35" s="13" t="n">
        <x:v>80</x:v>
      </x:c>
      <x:c r="B35" s="42" t="n">
        <x:v>356.3233</x:v>
      </x:c>
      <x:c r="C35" s="42" t="n">
        <x:v>83.4743</x:v>
      </x:c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</x:row>
    <x:row r="36" ht="15" hidden="0" customHeight="1">
      <x:c r="A36" s="13" t="n">
        <x:v>120</x:v>
      </x:c>
      <x:c r="B36" s="42" t="n">
        <x:v>346.6564</x:v>
      </x:c>
      <x:c r="C36" s="42" t="n">
        <x:v>81.9191</x:v>
      </x:c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</x:row>
    <x:row r="37" ht="15" hidden="0" customHeight="1">
      <x:c r="A37" s="13" t="n">
        <x:v>160</x:v>
      </x:c>
      <x:c r="B37" s="42" t="n">
        <x:v>333.399</x:v>
      </x:c>
      <x:c r="C37" s="42" t="n">
        <x:v>79.7714</x:v>
      </x:c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</x:row>
    <x:row r="38" ht="15" hidden="0" customHeight="1">
      <x:c r="A38" s="13" t="n">
        <x:v>200</x:v>
      </x:c>
      <x:c r="B38" s="42" t="n">
        <x:v>316.9646</x:v>
      </x:c>
      <x:c r="C38" s="42" t="n">
        <x:v>77.0837</x:v>
      </x:c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</x:row>
    <x:row r="39" ht="15" hidden="0" customHeight="1">
      <x:c r="A39" s="13" t="n">
        <x:v>240</x:v>
      </x:c>
      <x:c r="B39" s="42" t="n">
        <x:v>297.6384</x:v>
      </x:c>
      <x:c r="C39" s="42" t="n">
        <x:v>73.8842</x:v>
      </x:c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</x:row>
    <x:row r="40" ht="15" hidden="0" customHeight="1">
      <x:c r="A40" s="13" t="n">
        <x:v>280</x:v>
      </x:c>
      <x:c r="B40" s="42" t="n">
        <x:v>275.6338</x:v>
      </x:c>
      <x:c r="C40" s="42" t="n">
        <x:v>70.1849</x:v>
      </x:c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</x:row>
    <x:row r="41" ht="15" hidden="0" customHeight="1">
      <x:c r="A41" s="13" t="n">
        <x:v>320</x:v>
      </x:c>
      <x:c r="B41" s="42" t="n">
        <x:v>251.1181</x:v>
      </x:c>
      <x:c r="C41" s="42" t="n">
        <x:v>65.9836</x:v>
      </x:c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</x:row>
    <x:row r="42" ht="15" hidden="0" customHeight="1">
      <x:c r="A42" s="13" t="n">
        <x:v>360</x:v>
      </x:c>
      <x:c r="B42" s="42" t="n">
        <x:v>224.2278</x:v>
      </x:c>
      <x:c r="C42" s="42" t="n">
        <x:v>61.2637</x:v>
      </x:c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</x:row>
    <x:row r="43" ht="15" hidden="0" customHeight="1">
      <x:c r="A43" s="14" t="n">
        <x:v>400</x:v>
      </x:c>
      <x:c r="B43" s="43" t="n">
        <x:v>195.077</x:v>
      </x:c>
      <x:c r="C43" s="43" t="n">
        <x:v>55.9891</x:v>
      </x:c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</x:row>
    <x:row r="46" ht="15" hidden="0" customHeight="1">
      <x:c r="A46" s="29" t="str">
        <x:v>Gráficos recomendados</x:v>
      </x:c>
      <x:c r="B46" s="30" t="str">
        <x:v>Gráficos recomendados</x:v>
      </x:c>
      <x:c r="C46" s="30" t="str">
        <x:v>Gráficos recomendados</x:v>
      </x:c>
      <x:c r="D46" s="30" t="str">
        <x:v>Gráficos recomendados</x:v>
      </x:c>
      <x:c r="E46" s="31" t="str">
        <x:v>Gráficos recomendados</x:v>
      </x:c>
      <x:c r="F46" s="59"/>
      <x:c r="G46" s="59"/>
      <x:c r="H46" s="59"/>
      <x:c r="I46" s="59"/>
      <x:c r="J46" s="59"/>
      <x:c r="K46" s="59"/>
      <x:c r="L46" s="59"/>
      <x:c r="M46" s="59"/>
      <x:c r="N46" s="59"/>
    </x:row>
    <x:row r="47" ht="15" hidden="0" customHeight="1">
      <x:c r="A47" s="9" t="str">
        <x:v>Prioridade</x:v>
      </x:c>
      <x:c r="B47" s="9" t="str">
        <x:v>Gráfico</x:v>
      </x:c>
      <x:c r="C47" s="9" t="str">
        <x:v>Eixo X</x:v>
      </x:c>
      <x:c r="D47" s="9" t="str">
        <x:v>Eixo Y</x:v>
      </x:c>
      <x:c r="E47" s="9" t="str">
        <x:v>Decisão apoiada</x:v>
      </x:c>
      <x:c r="F47" s="59"/>
      <x:c r="G47" s="59"/>
      <x:c r="H47" s="59"/>
      <x:c r="I47" s="59"/>
      <x:c r="J47" s="59"/>
      <x:c r="K47" s="59"/>
      <x:c r="L47" s="59"/>
      <x:c r="M47" s="59"/>
      <x:c r="N47" s="59"/>
    </x:row>
    <x:row r="48" ht="15" hidden="0" customHeight="1">
      <x:c r="A48" s="12" t="n">
        <x:v>1</x:v>
      </x:c>
      <x:c r="B48" s="12" t="str">
        <x:v>Eficiência por vazão</x:v>
      </x:c>
      <x:c r="C48" s="12" t="str">
        <x:v>Q0 (L/s/m)</x:v>
      </x:c>
      <x:c r="D48" s="12" t="str">
        <x:v>Ea (%)</x:v>
      </x:c>
      <x:c r="E48" s="12" t="str">
        <x:v>Selecionar a vazão</x:v>
      </x:c>
      <x:c r="F48" s="59"/>
      <x:c r="G48" s="59"/>
      <x:c r="H48" s="59"/>
      <x:c r="I48" s="59"/>
      <x:c r="J48" s="59"/>
      <x:c r="K48" s="59"/>
      <x:c r="L48" s="59"/>
      <x:c r="M48" s="59"/>
      <x:c r="N48" s="59"/>
    </x:row>
    <x:row r="49" ht="15" hidden="0" customHeight="1">
      <x:c r="A49" s="13" t="n">
        <x:v>2</x:v>
      </x:c>
      <x:c r="B49" s="13" t="str">
        <x:v>Fases por vazão</x:v>
      </x:c>
      <x:c r="C49" s="13" t="str">
        <x:v>Q0 (L/s/m)</x:v>
      </x:c>
      <x:c r="D49" s="13" t="str">
        <x:v>ta, td e ti (min)</x:v>
      </x:c>
      <x:c r="E49" s="13" t="str">
        <x:v>Confirmar viabilidade hidráulica</x:v>
      </x:c>
      <x:c r="F49" s="59"/>
      <x:c r="G49" s="59"/>
      <x:c r="H49" s="59"/>
      <x:c r="I49" s="59"/>
      <x:c r="J49" s="59"/>
      <x:c r="K49" s="59"/>
      <x:c r="L49" s="59"/>
      <x:c r="M49" s="59"/>
      <x:c r="N49" s="59"/>
    </x:row>
    <x:row r="50" ht="15" hidden="0" customHeight="1">
      <x:c r="A50" s="13" t="n">
        <x:v>3</x:v>
      </x:c>
      <x:c r="B50" s="13" t="str">
        <x:v>Perfil infiltrado</x:v>
      </x:c>
      <x:c r="C50" s="13" t="str">
        <x:v>Distância (m)</x:v>
      </x:c>
      <x:c r="D50" s="13" t="str">
        <x:v>Lâmina (mm)</x:v>
      </x:c>
      <x:c r="E50" s="13" t="str">
        <x:v>Ver uniformidade e IRN</x:v>
      </x:c>
      <x:c r="F50" s="59"/>
      <x:c r="G50" s="59"/>
      <x:c r="H50" s="59"/>
      <x:c r="I50" s="59"/>
      <x:c r="J50" s="59"/>
      <x:c r="K50" s="59"/>
      <x:c r="L50" s="59"/>
      <x:c r="M50" s="59"/>
      <x:c r="N50" s="59"/>
    </x:row>
    <x:row r="51" ht="15" hidden="0" customHeight="1">
      <x:c r="A51" s="14" t="n">
        <x:v>4</x:v>
      </x:c>
      <x:c r="B51" s="14" t="str">
        <x:v>Composição do volume</x:v>
      </x:c>
      <x:c r="C51" s="14" t="str">
        <x:v>Cenário</x:v>
      </x:c>
      <x:c r="D51" s="14" t="str">
        <x:v>Ea, Pp e Pe (%)</x:v>
      </x:c>
      <x:c r="E51" s="14" t="str">
        <x:v>Explicar destino da água</x:v>
      </x:c>
      <x:c r="F51" s="59"/>
      <x:c r="G51" s="59"/>
      <x:c r="H51" s="59"/>
      <x:c r="I51" s="59"/>
      <x:c r="J51" s="59"/>
      <x:c r="K51" s="59"/>
      <x:c r="L51" s="59"/>
      <x:c r="M51" s="59"/>
      <x:c r="N51" s="59"/>
    </x:row>
    <x:row r="52"/>
    <x:row r="53"/>
    <x:row r="54"/>
  </x:sheetData>
  <x:pageMargins left="0.7" right="0.7" top="0.75" bottom="0.75" header="0.3" footer="0.3"/>
  <x:drawing xmlns:r="http://schemas.openxmlformats.org/officeDocument/2006/relationships" r:id="R7e019e2bb1ee4686"/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28" hidden="0" customWidth="1"/>
    <x:col min="4" max="4" width="16" hidden="0" customWidth="1"/>
    <x:col min="5" max="5" width="15" hidden="0" customWidth="1"/>
    <x:col min="6" max="6" width="34" hidden="0" customWidth="1"/>
    <x:col min="7" max="7" width="3" hidden="0" customWidth="1"/>
    <x:col min="8" max="8" width="24" hidden="0" customWidth="1"/>
    <x:col min="9" max="9" width="48" hidden="0" customWidth="1"/>
    <x:col min="10" max="10" width="25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</x:cols>
  <x:sheetData>
    <x:row r="1"/>
    <x:row r="2" ht="18" hidden="0" customHeight="1">
      <x:c r="A2" s="56" t="str">
        <x:v>Bacia intermitente: dimensionamento e cenários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</x:row>
    <x:row r="3" ht="15" hidden="0" customHeight="1">
      <x:c r="A3" s="58" t="str">
        <x:v>Valores extraídos da planilha Projeto Inundação intermitente - Dimensionamento exemplo.xlsx.</x:v>
      </x:c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</x:row>
    <x:row r="4">
      <x:c r="A4" s="59"/>
      <x:c r="B4" s="59"/>
      <x:c r="C4" s="59"/>
      <x:c r="D4" s="59"/>
      <x:c r="E4" s="59"/>
      <x:c r="F4" s="59"/>
      <x:c r="G4" s="59"/>
      <x:c r="H4" s="59"/>
      <x:c r="I4" s="59"/>
      <x:c r="J4" s="59"/>
      <x:c r="K4" s="59"/>
      <x:c r="L4" s="59"/>
      <x:c r="M4" s="59"/>
      <x:c r="N4" s="59"/>
    </x:row>
    <x:row r="5" ht="15" hidden="0" customHeight="1">
      <x:c r="A5" s="29" t="str">
        <x:v>Dados necessários</x:v>
      </x:c>
      <x:c r="B5" s="30" t="str">
        <x:v>Dados necessários</x:v>
      </x:c>
      <x:c r="C5" s="30" t="str">
        <x:v>Dados necessários</x:v>
      </x:c>
      <x:c r="D5" s="31" t="str">
        <x:v>Dados necessários</x:v>
      </x:c>
      <x:c r="E5" s="59"/>
      <x:c r="F5" s="29" t="str">
        <x:v>Cálculos principais</x:v>
      </x:c>
      <x:c r="G5" s="30" t="str">
        <x:v>Cálculos principais</x:v>
      </x:c>
      <x:c r="H5" s="30" t="str">
        <x:v>Cálculos principais</x:v>
      </x:c>
      <x:c r="I5" s="30" t="str">
        <x:v>Cálculos principais</x:v>
      </x:c>
      <x:c r="J5" s="31" t="str">
        <x:v>Cálculos principais</x:v>
      </x:c>
      <x:c r="K5" s="59"/>
      <x:c r="L5" s="59"/>
      <x:c r="M5" s="59"/>
      <x:c r="N5" s="59"/>
    </x:row>
    <x:row r="6" ht="48" hidden="0" customHeight="1">
      <x:c r="A6" s="9" t="str">
        <x:v>Símbolo</x:v>
      </x:c>
      <x:c r="B6" s="9" t="str">
        <x:v>Dado</x:v>
      </x:c>
      <x:c r="C6" s="9" t="str">
        <x:v>Exemplo</x:v>
      </x:c>
      <x:c r="D6" s="9" t="str">
        <x:v>Unidade</x:v>
      </x:c>
      <x:c r="E6" s="59"/>
      <x:c r="F6" s="9" t="str">
        <x:v>Etapa</x:v>
      </x:c>
      <x:c r="G6" s="9" t="str">
        <x:v>Resultado</x:v>
      </x:c>
      <x:c r="H6" s="9" t="str">
        <x:v>Fórmula / método</x:v>
      </x:c>
      <x:c r="I6" s="9" t="str">
        <x:v>Unidade</x:v>
      </x:c>
      <x:c r="J6" s="9" t="str">
        <x:v>Condição</x:v>
      </x:c>
      <x:c r="K6" s="59"/>
      <x:c r="L6" s="59"/>
      <x:c r="M6" s="59"/>
      <x:c r="N6" s="59"/>
    </x:row>
    <x:row r="7" ht="15" hidden="0" customHeight="1">
      <x:c r="A7" s="12" t="str">
        <x:v>k1 / k3</x:v>
      </x:c>
      <x:c r="B7" s="12" t="str">
        <x:v>Coeficientes de infiltração</x:v>
      </x:c>
      <x:c r="C7" s="12" t="str">
        <x:v>0,0035 / 0,0034</x:v>
      </x:c>
      <x:c r="D7" s="12" t="str">
        <x:v>-</x:v>
      </x:c>
      <x:c r="E7" s="59"/>
      <x:c r="F7" s="12" t="n">
        <x:v>1</x:v>
      </x:c>
      <x:c r="G7" s="12" t="str">
        <x:v>Q0 máxima</x:v>
      </x:c>
      <x:c r="H7" s="12" t="str">
        <x:v>Q0máx=[Vmáx^(13/3)·n²·L/3600]^(3/7)</x:v>
      </x:c>
      <x:c r="I7" s="12" t="str">
        <x:v>m³/min/m</x:v>
      </x:c>
      <x:c r="J7" s="12" t="str">
        <x:v>Não erosiva</x:v>
      </x:c>
      <x:c r="K7" s="59"/>
      <x:c r="L7" s="59"/>
      <x:c r="M7" s="59"/>
      <x:c r="N7" s="59"/>
    </x:row>
    <x:row r="8" ht="15" hidden="0" customHeight="1">
      <x:c r="A8" s="13" t="str">
        <x:v>a1 / a3</x:v>
      </x:c>
      <x:c r="B8" s="13" t="str">
        <x:v>Expoentes de infiltração</x:v>
      </x:c>
      <x:c r="C8" s="13" t="str">
        <x:v>0,47 / 0,45</x:v>
      </x:c>
      <x:c r="D8" s="13" t="str">
        <x:v>-</x:v>
      </x:c>
      <x:c r="E8" s="59"/>
      <x:c r="F8" s="13" t="n">
        <x:v>2</x:v>
      </x:c>
      <x:c r="G8" s="13" t="str">
        <x:v>Profundidade na entrada</x:v>
      </x:c>
      <x:c r="H8" s="13" t="str">
        <x:v>A0=[Q0²·n²·L/3600]^(3/13)</x:v>
      </x:c>
      <x:c r="I8" s="13" t="str">
        <x:v>m²</x:v>
      </x:c>
      <x:c r="J8" s="13" t="str">
        <x:v>Abaixo do dique</x:v>
      </x:c>
      <x:c r="K8" s="59"/>
      <x:c r="L8" s="59"/>
      <x:c r="M8" s="59"/>
      <x:c r="N8" s="59"/>
    </x:row>
    <x:row r="9" ht="15" hidden="0" customHeight="1">
      <x:c r="A9" s="13" t="str">
        <x:v>VIB1 / VIB3</x:v>
      </x:c>
      <x:c r="B9" s="13" t="str">
        <x:v>Infiltração básica</x:v>
      </x:c>
      <x:c r="C9" s="13" t="str">
        <x:v>0,00011 / 0,00010</x:v>
      </x:c>
      <x:c r="D9" s="13" t="str">
        <x:v>m³/min/m</x:v>
      </x:c>
      <x:c r="E9" s="59"/>
      <x:c r="F9" s="13" t="n">
        <x:v>3</x:v>
      </x:c>
      <x:c r="G9" s="13" t="str">
        <x:v>Tempo de avanço</x:v>
      </x:c>
      <x:c r="H9" s="13" t="str">
        <x:v>Balanço volumétrico, Newton-Raphson para ta e r</x:v>
      </x:c>
      <x:c r="I9" s="13" t="str">
        <x:v>min</x:v>
      </x:c>
      <x:c r="J9" s="13" t="str">
        <x:v>Convergência</x:v>
      </x:c>
      <x:c r="K9" s="59"/>
      <x:c r="L9" s="59"/>
      <x:c r="M9" s="59"/>
      <x:c r="N9" s="59"/>
    </x:row>
    <x:row r="10" ht="15" hidden="0" customHeight="1">
      <x:c r="A10" s="13" t="str">
        <x:v>W × L</x:v>
      </x:c>
      <x:c r="B10" s="13" t="str">
        <x:v>Dimensões da área</x:v>
      </x:c>
      <x:c r="C10" s="13" t="str">
        <x:v>400 × 200</x:v>
      </x:c>
      <x:c r="D10" s="13" t="str">
        <x:v>m</x:v>
      </x:c>
      <x:c r="E10" s="59"/>
      <x:c r="F10" s="13" t="n">
        <x:v>4</x:v>
      </x:c>
      <x:c r="G10" s="13" t="str">
        <x:v>Tempo de irrigação</x:v>
      </x:c>
      <x:c r="H10" s="13" t="str">
        <x:v>ti = (IRN·L − 0,8·y0·L)/Q0 + ta</x:v>
      </x:c>
      <x:c r="I10" s="13" t="str">
        <x:v>min</x:v>
      </x:c>
      <x:c r="J10" s="13" t="str">
        <x:v>Se ti &lt; ta, usar ti = ta</x:v>
      </x:c>
      <x:c r="K10" s="59"/>
      <x:c r="L10" s="59"/>
      <x:c r="M10" s="59"/>
      <x:c r="N10" s="59"/>
    </x:row>
    <x:row r="11" ht="15" hidden="0" customHeight="1">
      <x:c r="A11" s="13" t="str">
        <x:v>n</x:v>
      </x:c>
      <x:c r="B11" s="13" t="str">
        <x:v>Rugosidade de Manning</x:v>
      </x:c>
      <x:c r="C11" s="13" t="n">
        <x:v>0.04</x:v>
      </x:c>
      <x:c r="D11" s="13" t="str">
        <x:v>-</x:v>
      </x:c>
      <x:c r="E11" s="59"/>
      <x:c r="F11" s="13" t="n">
        <x:v>5</x:v>
      </x:c>
      <x:c r="G11" s="13" t="str">
        <x:v>Eficiência de aplicação</x:v>
      </x:c>
      <x:c r="H11" s="13" t="str">
        <x:v>Ea = IRN·L/(Q0·ti)·100</x:v>
      </x:c>
      <x:c r="I11" s="13" t="str">
        <x:v>%</x:v>
      </x:c>
      <x:c r="J11" s="13" t="str">
        <x:v>Somente se ta &lt; ti</x:v>
      </x:c>
      <x:c r="K11" s="59"/>
      <x:c r="L11" s="59"/>
      <x:c r="M11" s="59"/>
      <x:c r="N11" s="59"/>
    </x:row>
    <x:row r="12" ht="15" hidden="0" customHeight="1">
      <x:c r="A12" s="13" t="str">
        <x:v>IRN</x:v>
      </x:c>
      <x:c r="B12" s="13" t="str">
        <x:v>Irrigação real necessária</x:v>
      </x:c>
      <x:c r="C12" s="13" t="n">
        <x:v>56</x:v>
      </x:c>
      <x:c r="D12" s="13" t="str">
        <x:v>mm</x:v>
      </x:c>
      <x:c r="E12" s="59"/>
      <x:c r="F12" s="13" t="n">
        <x:v>6</x:v>
      </x:c>
      <x:c r="G12" s="13" t="str">
        <x:v>Perfil infiltrado</x:v>
      </x:c>
      <x:c r="H12" s="13" t="str">
        <x:v>I0=k·ta^a+VIB·ta+0,8·y0+Q0(ti−ta)/L</x:v>
      </x:c>
      <x:c r="I12" s="13" t="str">
        <x:v>m³/m</x:v>
      </x:c>
      <x:c r="J12" s="13" t="str">
        <x:v>Final atende IRN</x:v>
      </x:c>
      <x:c r="K12" s="59"/>
      <x:c r="L12" s="59"/>
      <x:c r="M12" s="59"/>
      <x:c r="N12" s="59"/>
    </x:row>
    <x:row r="13" ht="15" hidden="0" customHeight="1">
      <x:c r="A13" s="13" t="str">
        <x:v>ETc</x:v>
      </x:c>
      <x:c r="B13" s="13" t="str">
        <x:v>Evapotranspiração da cultura</x:v>
      </x:c>
      <x:c r="C13" s="13" t="n">
        <x:v>8</x:v>
      </x:c>
      <x:c r="D13" s="13" t="str">
        <x:v>mm/dia</x:v>
      </x:c>
      <x:c r="E13" s="59"/>
      <x:c r="F13" s="13" t="n">
        <x:v>7</x:v>
      </x:c>
      <x:c r="G13" s="13" t="str">
        <x:v>Largura do tabuleiro</x:v>
      </x:c>
      <x:c r="H13" s="13" t="str">
        <x:v>Definida pelo manejo e pela vazão disponível</x:v>
      </x:c>
      <x:c r="I13" s="13" t="str">
        <x:v>m</x:v>
      </x:c>
      <x:c r="J13" s="13" t="str">
        <x:v>Submúltiplo da largura total</x:v>
      </x:c>
      <x:c r="K13" s="59"/>
      <x:c r="L13" s="59"/>
      <x:c r="M13" s="59"/>
      <x:c r="N13" s="59"/>
    </x:row>
    <x:row r="14" ht="15" hidden="0" customHeight="1">
      <x:c r="A14" s="13" t="str">
        <x:v>Qt</x:v>
      </x:c>
      <x:c r="B14" s="13" t="str">
        <x:v>Vazão disponível</x:v>
      </x:c>
      <x:c r="C14" s="13" t="n">
        <x:v>400</x:v>
      </x:c>
      <x:c r="D14" s="13" t="str">
        <x:v>L/s</x:v>
      </x:c>
      <x:c r="E14" s="59"/>
      <x:c r="F14" s="13" t="n">
        <x:v>8</x:v>
      </x:c>
      <x:c r="G14" s="13" t="str">
        <x:v>Tempo por parcela</x:v>
      </x:c>
      <x:c r="H14" s="13" t="str">
        <x:v>TPP = ti + tmud</x:v>
      </x:c>
      <x:c r="I14" s="13" t="str">
        <x:v>h</x:v>
      </x:c>
      <x:c r="J14" s="13" t="str">
        <x:v>Compatível com TDF</x:v>
      </x:c>
      <x:c r="K14" s="59"/>
      <x:c r="L14" s="59"/>
      <x:c r="M14" s="59"/>
      <x:c r="N14" s="59"/>
    </x:row>
    <x:row r="15" ht="15" hidden="0" customHeight="1">
      <x:c r="A15" s="13" t="str">
        <x:v>Vmáx</x:v>
      </x:c>
      <x:c r="B15" s="13" t="str">
        <x:v>Velocidade máxima não erosiva</x:v>
      </x:c>
      <x:c r="C15" s="13" t="n">
        <x:v>8</x:v>
      </x:c>
      <x:c r="D15" s="13" t="str">
        <x:v>m/min</x:v>
      </x:c>
      <x:c r="E15" s="59"/>
      <x:c r="F15" s="13" t="n">
        <x:v>9</x:v>
      </x:c>
      <x:c r="G15" s="13" t="str">
        <x:v>Número de parcelas/dia</x:v>
      </x:c>
      <x:c r="H15" s="13" t="str">
        <x:v>NPD = TDF/TPP</x:v>
      </x:c>
      <x:c r="I15" s="13" t="str">
        <x:v>parcelas/dia</x:v>
      </x:c>
      <x:c r="J15" s="13" t="str">
        <x:v>Adotar inteiro</x:v>
      </x:c>
      <x:c r="K15" s="59"/>
      <x:c r="L15" s="59"/>
      <x:c r="M15" s="59"/>
      <x:c r="N15" s="59"/>
    </x:row>
    <x:row r="16" ht="15" hidden="0" customHeight="1">
      <x:c r="A16" s="13" t="str">
        <x:v>TDF</x:v>
      </x:c>
      <x:c r="B16" s="13" t="str">
        <x:v>Tempo de funcionamento diário</x:v>
      </x:c>
      <x:c r="C16" s="13" t="n">
        <x:v>12</x:v>
      </x:c>
      <x:c r="D16" s="13" t="str">
        <x:v>h</x:v>
      </x:c>
      <x:c r="E16" s="59"/>
      <x:c r="F16" s="14" t="n">
        <x:v>10</x:v>
      </x:c>
      <x:c r="G16" s="14" t="str">
        <x:v>Vazão total</x:v>
      </x:c>
      <x:c r="H16" s="14" t="str">
        <x:v>Qt = NTP·Wo·Q0</x:v>
      </x:c>
      <x:c r="I16" s="14" t="str">
        <x:v>L/s</x:v>
      </x:c>
      <x:c r="J16" s="14" t="str">
        <x:v>Qt ≤ disponível</x:v>
      </x:c>
      <x:c r="K16" s="59"/>
      <x:c r="L16" s="59"/>
      <x:c r="M16" s="59"/>
      <x:c r="N16" s="59"/>
    </x:row>
    <x:row r="17" ht="15" hidden="0" customHeight="1">
      <x:c r="A17" s="13" t="str">
        <x:v>tmud</x:v>
      </x:c>
      <x:c r="B17" s="13" t="str">
        <x:v>Tempo de mudança</x:v>
      </x:c>
      <x:c r="C17" s="13" t="n">
        <x:v>30</x:v>
      </x:c>
      <x:c r="D17" s="13" t="str">
        <x:v>min</x:v>
      </x:c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</x:row>
    <x:row r="18" ht="15" hidden="0" customHeight="1">
      <x:c r="A18" s="13" t="str">
        <x:v>NTP</x:v>
      </x:c>
      <x:c r="B18" s="13" t="str">
        <x:v>Número de tabuleiros por parcela</x:v>
      </x:c>
      <x:c r="C18" s="13" t="n">
        <x:v>4</x:v>
      </x:c>
      <x:c r="D18" s="13" t="str">
        <x:v>tabuleiros</x:v>
      </x:c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</x:row>
    <x:row r="19" ht="15" hidden="0" customHeight="1">
      <x:c r="A19" s="14"/>
      <x:c r="B19" s="14"/>
      <x:c r="C19" s="14"/>
      <x:c r="D19" s="14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</x:row>
    <x:row r="23" ht="15" hidden="0" customHeight="1">
      <x:c r="A23" s="29" t="str">
        <x:v>Cenários de vazão</x:v>
      </x:c>
      <x:c r="B23" s="30" t="str">
        <x:v>Cenários de vazão</x:v>
      </x:c>
      <x:c r="C23" s="30" t="str">
        <x:v>Cenários de vazão</x:v>
      </x:c>
      <x:c r="D23" s="30" t="str">
        <x:v>Cenários de vazão</x:v>
      </x:c>
      <x:c r="E23" s="30" t="str">
        <x:v>Cenários de vazão</x:v>
      </x:c>
      <x:c r="F23" s="31" t="str">
        <x:v>Cenários de vazão</x:v>
      </x:c>
      <x:c r="G23" s="59"/>
      <x:c r="H23" s="59"/>
      <x:c r="I23" s="59"/>
      <x:c r="J23" s="59"/>
      <x:c r="K23" s="59"/>
      <x:c r="L23" s="59"/>
      <x:c r="M23" s="59"/>
      <x:c r="N23" s="59"/>
    </x:row>
    <x:row r="24" ht="15" hidden="0" customHeight="1">
      <x:c r="A24" s="9" t="str">
        <x:v>Q0 (L/s/m)</x:v>
      </x:c>
      <x:c r="B24" s="9" t="str">
        <x:v>ta (min)</x:v>
      </x:c>
      <x:c r="C24" s="9" t="str">
        <x:v>ti (min)</x:v>
      </x:c>
      <x:c r="D24" s="9" t="str">
        <x:v>Ea (%)</x:v>
      </x:c>
      <x:c r="E24" s="9" t="str">
        <x:v>ta &lt; ti?</x:v>
      </x:c>
      <x:c r="F24" s="9" t="str">
        <x:v>Situação</x:v>
      </x:c>
      <x:c r="G24" s="59"/>
      <x:c r="H24" s="59"/>
      <x:c r="I24" s="59"/>
      <x:c r="J24" s="59"/>
      <x:c r="K24" s="59"/>
      <x:c r="L24" s="59"/>
      <x:c r="M24" s="59"/>
      <x:c r="N24" s="59"/>
    </x:row>
    <x:row r="25" ht="15" hidden="0" customHeight="1">
      <x:c r="A25" s="38" t="n">
        <x:v>14.5481</x:v>
      </x:c>
      <x:c r="B25" s="38" t="n">
        <x:v>21.9154</x:v>
      </x:c>
      <x:c r="C25" s="38" t="n">
        <x:v>14.5981</x:v>
      </x:c>
      <x:c r="D25" s="38" t="n">
        <x:v>87.8945</x:v>
      </x:c>
      <x:c r="E25" s="12" t="str">
        <x:v>Não</x:v>
      </x:c>
      <x:c r="F25" s="12" t="str">
        <x:v>Inválido: avanço termina após o corte</x:v>
      </x:c>
      <x:c r="G25" s="59"/>
      <x:c r="H25" s="59"/>
      <x:c r="I25" s="59"/>
      <x:c r="J25" s="59"/>
      <x:c r="K25" s="59"/>
      <x:c r="L25" s="59"/>
      <x:c r="M25" s="59"/>
      <x:c r="N25" s="59"/>
    </x:row>
    <x:row r="26" ht="15" hidden="0" customHeight="1">
      <x:c r="A26" s="39" t="n">
        <x:v>12</x:v>
      </x:c>
      <x:c r="B26" s="39" t="n">
        <x:v>24.7966</x:v>
      </x:c>
      <x:c r="C26" s="39" t="n">
        <x:v>17.9961</x:v>
      </x:c>
      <x:c r="D26" s="39" t="n">
        <x:v>86.4386</x:v>
      </x:c>
      <x:c r="E26" s="13" t="str">
        <x:v>Não</x:v>
      </x:c>
      <x:c r="F26" s="13" t="str">
        <x:v>Inválido</x:v>
      </x:c>
      <x:c r="G26" s="59"/>
      <x:c r="H26" s="59"/>
      <x:c r="I26" s="59"/>
      <x:c r="J26" s="59"/>
      <x:c r="K26" s="59"/>
      <x:c r="L26" s="59"/>
      <x:c r="M26" s="59"/>
      <x:c r="N26" s="59"/>
    </x:row>
    <x:row r="27" ht="15" hidden="0" customHeight="1">
      <x:c r="A27" s="39" t="n">
        <x:v>10</x:v>
      </x:c>
      <x:c r="B27" s="39" t="n">
        <x:v>27.9529</x:v>
      </x:c>
      <x:c r="C27" s="39" t="n">
        <x:v>21.9504</x:v>
      </x:c>
      <x:c r="D27" s="39" t="n">
        <x:v>85.0401</x:v>
      </x:c>
      <x:c r="E27" s="13" t="str">
        <x:v>Não</x:v>
      </x:c>
      <x:c r="F27" s="13" t="str">
        <x:v>Inválido</x:v>
      </x:c>
      <x:c r="G27" s="59"/>
      <x:c r="H27" s="59"/>
      <x:c r="I27" s="59"/>
      <x:c r="J27" s="59"/>
      <x:c r="K27" s="59"/>
      <x:c r="L27" s="59"/>
      <x:c r="M27" s="59"/>
      <x:c r="N27" s="59"/>
    </x:row>
    <x:row r="28" ht="15" hidden="0" customHeight="1">
      <x:c r="A28" s="39" t="n">
        <x:v>8</x:v>
      </x:c>
      <x:c r="B28" s="39" t="n">
        <x:v>32.5117</x:v>
      </x:c>
      <x:c r="C28" s="39" t="n">
        <x:v>28.0168</x:v>
      </x:c>
      <x:c r="D28" s="39" t="n">
        <x:v>83.2833</x:v>
      </x:c>
      <x:c r="E28" s="13" t="str">
        <x:v>Não</x:v>
      </x:c>
      <x:c r="F28" s="13" t="str">
        <x:v>Inválido</x:v>
      </x:c>
      <x:c r="G28" s="59"/>
      <x:c r="H28" s="59"/>
      <x:c r="I28" s="59"/>
      <x:c r="J28" s="59"/>
      <x:c r="K28" s="59"/>
      <x:c r="L28" s="59"/>
      <x:c r="M28" s="59"/>
      <x:c r="N28" s="59"/>
    </x:row>
    <x:row r="29" ht="15" hidden="0" customHeight="1">
      <x:c r="A29" s="39" t="n">
        <x:v>6</x:v>
      </x:c>
      <x:c r="B29" s="39" t="n">
        <x:v>39.8476</x:v>
      </x:c>
      <x:c r="C29" s="39" t="n">
        <x:v>38.4536</x:v>
      </x:c>
      <x:c r="D29" s="39" t="n">
        <x:v>80.9055</x:v>
      </x:c>
      <x:c r="E29" s="13" t="str">
        <x:v>Não</x:v>
      </x:c>
      <x:c r="F29" s="13" t="str">
        <x:v>Inválido</x:v>
      </x:c>
      <x:c r="G29" s="59"/>
      <x:c r="H29" s="59"/>
      <x:c r="I29" s="59"/>
      <x:c r="J29" s="59"/>
      <x:c r="K29" s="59"/>
      <x:c r="L29" s="59"/>
      <x:c r="M29" s="59"/>
      <x:c r="N29" s="59"/>
    </x:row>
    <x:row r="30" ht="15" hidden="0" customHeight="1">
      <x:c r="A30" s="52" t="n">
        <x:v>5</x:v>
      </x:c>
      <x:c r="B30" s="52" t="n">
        <x:v>45.6098</x:v>
      </x:c>
      <x:c r="C30" s="52" t="n">
        <x:v>47.0749</x:v>
      </x:c>
      <x:c r="D30" s="52" t="n">
        <x:v>79.3062</x:v>
      </x:c>
      <x:c r="E30" s="48" t="str">
        <x:v>Sim</x:v>
      </x:c>
      <x:c r="F30" s="48" t="str">
        <x:v>Primeiro cenário válido e maior Ea</x:v>
      </x:c>
      <x:c r="G30" s="59"/>
      <x:c r="H30" s="59"/>
      <x:c r="I30" s="59"/>
      <x:c r="J30" s="59"/>
      <x:c r="K30" s="59"/>
      <x:c r="L30" s="59"/>
      <x:c r="M30" s="59"/>
      <x:c r="N30" s="59"/>
    </x:row>
    <x:row r="31" ht="15" hidden="0" customHeight="1">
      <x:c r="A31" s="39" t="n">
        <x:v>4</x:v>
      </x:c>
      <x:c r="B31" s="39" t="n">
        <x:v>54.2299</x:v>
      </x:c>
      <x:c r="C31" s="39" t="n">
        <x:v>60.4352</x:v>
      </x:c>
      <x:c r="D31" s="39" t="n">
        <x:v>77.2177</x:v>
      </x:c>
      <x:c r="E31" s="13" t="str">
        <x:v>Sim</x:v>
      </x:c>
      <x:c r="F31" s="13" t="str">
        <x:v>Válido</x:v>
      </x:c>
      <x:c r="G31" s="59"/>
      <x:c r="H31" s="59"/>
      <x:c r="I31" s="59"/>
      <x:c r="J31" s="59"/>
      <x:c r="K31" s="59"/>
      <x:c r="L31" s="59"/>
      <x:c r="M31" s="59"/>
      <x:c r="N31" s="59"/>
    </x:row>
    <x:row r="32" ht="15" hidden="0" customHeight="1">
      <x:c r="A32" s="39" t="n">
        <x:v>3</x:v>
      </x:c>
      <x:c r="B32" s="39" t="n">
        <x:v>68.8461</x:v>
      </x:c>
      <x:c r="C32" s="39" t="n">
        <x:v>83.8068</x:v>
      </x:c>
      <x:c r="D32" s="39" t="n">
        <x:v>74.2449</x:v>
      </x:c>
      <x:c r="E32" s="13" t="str">
        <x:v>Sim</x:v>
      </x:c>
      <x:c r="F32" s="13" t="str">
        <x:v>Válido</x:v>
      </x:c>
      <x:c r="G32" s="59"/>
      <x:c r="H32" s="59"/>
      <x:c r="I32" s="59"/>
      <x:c r="J32" s="59"/>
      <x:c r="K32" s="59"/>
      <x:c r="L32" s="59"/>
      <x:c r="M32" s="59"/>
      <x:c r="N32" s="59"/>
    </x:row>
    <x:row r="33" ht="15" hidden="0" customHeight="1">
      <x:c r="A33" s="40" t="n">
        <x:v>2</x:v>
      </x:c>
      <x:c r="B33" s="40" t="n">
        <x:v>100.1911</x:v>
      </x:c>
      <x:c r="C33" s="40" t="n">
        <x:v>134.6947</x:v>
      </x:c>
      <x:c r="D33" s="40" t="n">
        <x:v>69.2925</x:v>
      </x:c>
      <x:c r="E33" s="14" t="str">
        <x:v>Sim</x:v>
      </x:c>
      <x:c r="F33" s="14" t="str">
        <x:v>Válido</x:v>
      </x:c>
      <x:c r="G33" s="59"/>
      <x:c r="H33" s="59"/>
      <x:c r="I33" s="59"/>
      <x:c r="J33" s="59"/>
      <x:c r="K33" s="59"/>
      <x:c r="L33" s="59"/>
      <x:c r="M33" s="59"/>
      <x:c r="N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</x:row>
    <x:row r="36" ht="15" hidden="0" customHeight="1">
      <x:c r="A36" s="29" t="str">
        <x:v>Perfil infiltrado do cenário de 5 L/s/m</x:v>
      </x:c>
      <x:c r="B36" s="30" t="str">
        <x:v>Perfil infiltrado do cenário de 5 L/s/m</x:v>
      </x:c>
      <x:c r="C36" s="31" t="str">
        <x:v>Perfil infiltrado do cenário de 5 L/s/m</x:v>
      </x:c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</x:row>
    <x:row r="37" ht="15" hidden="0" customHeight="1">
      <x:c r="A37" s="9" t="str">
        <x:v>Distância (m)</x:v>
      </x:c>
      <x:c r="B37" s="9" t="str">
        <x:v>Tempo de avanço (min)</x:v>
      </x:c>
      <x:c r="C37" s="9" t="str">
        <x:v>Infiltração acumulada (m³/m)</x:v>
      </x:c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</x:row>
    <x:row r="38" ht="15" hidden="0" customHeight="1">
      <x:c r="A38" s="12" t="n">
        <x:v>0</x:v>
      </x:c>
      <x:c r="B38" s="53" t="n">
        <x:v>0</x:v>
      </x:c>
      <x:c r="C38" s="53" t="n">
        <x:v>0.1244147</x:v>
      </x:c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</x:row>
    <x:row r="39" ht="15" hidden="0" customHeight="1">
      <x:c r="A39" s="13" t="n">
        <x:v>40</x:v>
      </x:c>
      <x:c r="B39" s="54" t="n">
        <x:v>7.4414</x:v>
      </x:c>
      <x:c r="C39" s="54" t="n">
        <x:v>0.122386</x:v>
      </x:c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</x:row>
    <x:row r="40" ht="15" hidden="0" customHeight="1">
      <x:c r="A40" s="13" t="n">
        <x:v>80</x:v>
      </x:c>
      <x:c r="B40" s="54" t="n">
        <x:v>16.2469</x:v>
      </x:c>
      <x:c r="C40" s="54" t="n">
        <x:v>0.1135904</x:v>
      </x:c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</x:row>
    <x:row r="41" ht="15" hidden="0" customHeight="1">
      <x:c r="A41" s="13" t="n">
        <x:v>120</x:v>
      </x:c>
      <x:c r="B41" s="54" t="n">
        <x:v>25.6532</x:v>
      </x:c>
      <x:c r="C41" s="54" t="n">
        <x:v>0.103142</x:v>
      </x:c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</x:row>
    <x:row r="42" ht="15" hidden="0" customHeight="1">
      <x:c r="A42" s="13" t="n">
        <x:v>160</x:v>
      </x:c>
      <x:c r="B42" s="54" t="n">
        <x:v>35.4721</x:v>
      </x:c>
      <x:c r="C42" s="54" t="n">
        <x:v>0.0916943</x:v>
      </x:c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</x:row>
    <x:row r="43" ht="15" hidden="0" customHeight="1">
      <x:c r="A43" s="14" t="n">
        <x:v>200</x:v>
      </x:c>
      <x:c r="B43" s="55" t="n">
        <x:v>45.6098</x:v>
      </x:c>
      <x:c r="C43" s="55" t="n">
        <x:v>0.0795304</x:v>
      </x:c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</x:row>
    <x:row r="46" ht="15" hidden="0" customHeight="1">
      <x:c r="A46" s="29" t="str">
        <x:v>Gráficos recomendados</x:v>
      </x:c>
      <x:c r="B46" s="30" t="str">
        <x:v>Gráficos recomendados</x:v>
      </x:c>
      <x:c r="C46" s="30" t="str">
        <x:v>Gráficos recomendados</x:v>
      </x:c>
      <x:c r="D46" s="30" t="str">
        <x:v>Gráficos recomendados</x:v>
      </x:c>
      <x:c r="E46" s="31" t="str">
        <x:v>Gráficos recomendados</x:v>
      </x:c>
      <x:c r="F46" s="59"/>
      <x:c r="G46" s="59"/>
      <x:c r="H46" s="59"/>
      <x:c r="I46" s="59"/>
      <x:c r="J46" s="59"/>
      <x:c r="K46" s="59"/>
      <x:c r="L46" s="59"/>
      <x:c r="M46" s="59"/>
      <x:c r="N46" s="59"/>
    </x:row>
    <x:row r="47" ht="15" hidden="0" customHeight="1">
      <x:c r="A47" s="9" t="str">
        <x:v>Prioridade</x:v>
      </x:c>
      <x:c r="B47" s="9" t="str">
        <x:v>Gráfico</x:v>
      </x:c>
      <x:c r="C47" s="9" t="str">
        <x:v>Eixo X</x:v>
      </x:c>
      <x:c r="D47" s="9" t="str">
        <x:v>Eixo Y</x:v>
      </x:c>
      <x:c r="E47" s="9" t="str">
        <x:v>Decisão apoiada</x:v>
      </x:c>
      <x:c r="F47" s="59"/>
      <x:c r="G47" s="59"/>
      <x:c r="H47" s="59"/>
      <x:c r="I47" s="59"/>
      <x:c r="J47" s="59"/>
      <x:c r="K47" s="59"/>
      <x:c r="L47" s="59"/>
      <x:c r="M47" s="59"/>
      <x:c r="N47" s="59"/>
    </x:row>
    <x:row r="48" ht="15" hidden="0" customHeight="1">
      <x:c r="A48" s="12" t="n">
        <x:v>1</x:v>
      </x:c>
      <x:c r="B48" s="12" t="str">
        <x:v>Eficiência por vazão</x:v>
      </x:c>
      <x:c r="C48" s="12" t="str">
        <x:v>Q0 (L/s/m)</x:v>
      </x:c>
      <x:c r="D48" s="12" t="str">
        <x:v>Ea (%)</x:v>
      </x:c>
      <x:c r="E48" s="12" t="str">
        <x:v>Escolher o primeiro máximo válido</x:v>
      </x:c>
      <x:c r="F48" s="59"/>
      <x:c r="G48" s="59"/>
      <x:c r="H48" s="59"/>
      <x:c r="I48" s="59"/>
      <x:c r="J48" s="59"/>
      <x:c r="K48" s="59"/>
      <x:c r="L48" s="59"/>
      <x:c r="M48" s="59"/>
      <x:c r="N48" s="59"/>
    </x:row>
    <x:row r="49" ht="15" hidden="0" customHeight="1">
      <x:c r="A49" s="13" t="n">
        <x:v>2</x:v>
      </x:c>
      <x:c r="B49" s="13" t="str">
        <x:v>Ta e Ti por vazão</x:v>
      </x:c>
      <x:c r="C49" s="13" t="str">
        <x:v>Q0 (L/s/m)</x:v>
      </x:c>
      <x:c r="D49" s="13" t="str">
        <x:v>Tempo (min)</x:v>
      </x:c>
      <x:c r="E49" s="13" t="str">
        <x:v>Eliminar cenários com ta ≥ ti</x:v>
      </x:c>
      <x:c r="F49" s="59"/>
      <x:c r="G49" s="59"/>
      <x:c r="H49" s="59"/>
      <x:c r="I49" s="59"/>
      <x:c r="J49" s="59"/>
      <x:c r="K49" s="59"/>
      <x:c r="L49" s="59"/>
      <x:c r="M49" s="59"/>
      <x:c r="N49" s="59"/>
    </x:row>
    <x:row r="50" ht="15" hidden="0" customHeight="1">
      <x:c r="A50" s="13" t="n">
        <x:v>3</x:v>
      </x:c>
      <x:c r="B50" s="13" t="str">
        <x:v>Perfil infiltrado</x:v>
      </x:c>
      <x:c r="C50" s="13" t="str">
        <x:v>Distância (m)</x:v>
      </x:c>
      <x:c r="D50" s="13" t="str">
        <x:v>Infiltração acumulada</x:v>
      </x:c>
      <x:c r="E50" s="13" t="str">
        <x:v>Ver adequação no fim da bacia</x:v>
      </x:c>
      <x:c r="F50" s="59"/>
      <x:c r="G50" s="59"/>
      <x:c r="H50" s="59"/>
      <x:c r="I50" s="59"/>
      <x:c r="J50" s="59"/>
      <x:c r="K50" s="59"/>
      <x:c r="L50" s="59"/>
      <x:c r="M50" s="59"/>
      <x:c r="N50" s="59"/>
    </x:row>
    <x:row r="51" ht="15" hidden="0" customHeight="1">
      <x:c r="A51" s="14" t="n">
        <x:v>4</x:v>
      </x:c>
      <x:c r="B51" s="14" t="str">
        <x:v>Demanda e disponibilidade</x:v>
      </x:c>
      <x:c r="C51" s="14" t="str">
        <x:v>Cenário</x:v>
      </x:c>
      <x:c r="D51" s="14" t="str">
        <x:v>Qt necessária e disponível (L/s)</x:v>
      </x:c>
      <x:c r="E51" s="14" t="str">
        <x:v>Confirmar capacidade do sistema</x:v>
      </x:c>
      <x:c r="F51" s="59"/>
      <x:c r="G51" s="59"/>
      <x:c r="H51" s="59"/>
      <x:c r="I51" s="59"/>
      <x:c r="J51" s="59"/>
      <x:c r="K51" s="59"/>
      <x:c r="L51" s="59"/>
      <x:c r="M51" s="59"/>
      <x:c r="N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</x:row>
    <x:row r="54" ht="79.19999694824219" hidden="0" customHeight="1">
      <x:c r="A54" s="60" t="str">
        <x:v>Alerta</x:v>
      </x:c>
      <x:c r="B54" s="61" t="str">
        <x:v>No exemplo, Qt calculada = 222,22 L/s é menor que a vazão disponível de 400 L/s. O texto da planilha diz “maior que a disponível”; essa frase está invertida.</x:v>
      </x:c>
      <x:c r="C54" s="61"/>
      <x:c r="D54" s="61"/>
      <x:c r="E54" s="61"/>
      <x:c r="F54" s="61"/>
      <x:c r="G54" s="61"/>
      <x:c r="H54" s="61"/>
      <x:c r="I54" s="61"/>
      <x:c r="J54" s="61"/>
      <x:c r="K54" s="61"/>
      <x:c r="L54" s="61"/>
      <x:c r="M54" s="61"/>
      <x:c r="N54" s="61"/>
    </x:row>
    <x:row r="55" ht="15" hidden="0" customHeight="1">
      <x:c r="A55" s="59"/>
      <x:c r="B55" s="61"/>
      <x:c r="C55" s="61"/>
      <x:c r="D55" s="61"/>
      <x:c r="E55" s="61"/>
      <x:c r="F55" s="61"/>
      <x:c r="G55" s="61"/>
      <x:c r="H55" s="61"/>
      <x:c r="I55" s="61"/>
      <x:c r="J55" s="61"/>
      <x:c r="K55" s="61"/>
      <x:c r="L55" s="61"/>
      <x:c r="M55" s="61"/>
      <x:c r="N55" s="61"/>
    </x:row>
  </x:sheetData>
  <x:pageMargins left="0.7" right="0.7" top="0.75" bottom="0.75" header="0.3" footer="0.3"/>
  <x:drawing xmlns:r="http://schemas.openxmlformats.org/officeDocument/2006/relationships" r:id="R2b411a737b934258"/>
</x:worksheet>
</file>

<file path=xl/worksheets/sheet5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14" hidden="0" customWidth="1"/>
    <x:col min="4" max="4" width="17" hidden="0" customWidth="1"/>
    <x:col min="5" max="5" width="3" hidden="0" customWidth="1"/>
    <x:col min="6" max="6" width="29" hidden="0" customWidth="1"/>
    <x:col min="7" max="7" width="43" hidden="0" customWidth="1"/>
    <x:col min="8" max="8" width="34" hidden="0" customWidth="1"/>
    <x:col min="9" max="9" width="15" hidden="0" customWidth="1"/>
    <x:col min="10" max="10" width="14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</x:cols>
  <x:sheetData>
    <x:row r="1"/>
    <x:row r="2" ht="18" hidden="0" customHeight="1">
      <x:c r="A2" s="56" t="str">
        <x:v>Bacia permanente: calculadora do exemplo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</x:row>
    <x:row r="3" ht="15" hidden="0" customHeight="1">
      <x:c r="A3" s="58" t="str">
        <x:v>Células amarelas são entradas. Resultados reproduzem a planilha de dimensionamento.</x:v>
      </x:c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</x:row>
    <x:row r="4">
      <x:c r="A4" s="59"/>
      <x:c r="B4" s="59"/>
      <x:c r="C4" s="59"/>
      <x:c r="D4" s="59"/>
      <x:c r="E4" s="59"/>
      <x:c r="F4" s="59"/>
      <x:c r="G4" s="59"/>
      <x:c r="H4" s="59"/>
      <x:c r="I4" s="59"/>
      <x:c r="J4" s="59"/>
      <x:c r="K4" s="59"/>
      <x:c r="L4" s="59"/>
      <x:c r="M4" s="59"/>
      <x:c r="N4" s="59"/>
    </x:row>
    <x:row r="5" ht="15" hidden="0" customHeight="1">
      <x:c r="A5" s="29" t="str">
        <x:v>Entradas</x:v>
      </x:c>
      <x:c r="B5" s="30" t="str">
        <x:v>Entradas</x:v>
      </x:c>
      <x:c r="C5" s="30" t="str">
        <x:v>Entradas</x:v>
      </x:c>
      <x:c r="D5" s="31" t="str">
        <x:v>Entradas</x:v>
      </x:c>
      <x:c r="E5" s="59"/>
      <x:c r="F5" s="29" t="str">
        <x:v>Resultados calculados</x:v>
      </x:c>
      <x:c r="G5" s="30" t="str">
        <x:v>Resultados calculados</x:v>
      </x:c>
      <x:c r="H5" s="30" t="str">
        <x:v>Resultados calculados</x:v>
      </x:c>
      <x:c r="I5" s="30" t="str">
        <x:v>Resultados calculados</x:v>
      </x:c>
      <x:c r="J5" s="31" t="str">
        <x:v>Resultados calculados</x:v>
      </x:c>
      <x:c r="K5" s="59"/>
      <x:c r="L5" s="59"/>
      <x:c r="M5" s="59"/>
      <x:c r="N5" s="59"/>
    </x:row>
    <x:row r="6" ht="15" hidden="0" customHeight="1">
      <x:c r="A6" s="9" t="str">
        <x:v>Símbolo</x:v>
      </x:c>
      <x:c r="B6" s="9" t="str">
        <x:v>Dado</x:v>
      </x:c>
      <x:c r="C6" s="9" t="str">
        <x:v>Valor</x:v>
      </x:c>
      <x:c r="D6" s="9" t="str">
        <x:v>Unidade</x:v>
      </x:c>
      <x:c r="E6" s="59"/>
      <x:c r="F6" s="9" t="str">
        <x:v>Resultado</x:v>
      </x:c>
      <x:c r="G6" s="9" t="str">
        <x:v>Fórmula técnica</x:v>
      </x:c>
      <x:c r="H6" s="9" t="str">
        <x:v>Fórmula Excel</x:v>
      </x:c>
      <x:c r="I6" s="9" t="str">
        <x:v>Valor</x:v>
      </x:c>
      <x:c r="J6" s="9" t="str">
        <x:v>Unidade</x:v>
      </x:c>
      <x:c r="K6" s="59"/>
      <x:c r="L6" s="59"/>
      <x:c r="M6" s="59"/>
      <x:c r="N6" s="59"/>
    </x:row>
    <x:row r="7" ht="15" hidden="0" customHeight="1">
      <x:c r="A7" s="12" t="str">
        <x:v>φ</x:v>
      </x:c>
      <x:c r="B7" s="12" t="str">
        <x:v>Porosidade</x:v>
      </x:c>
      <x:c r="C7" s="32" t="n">
        <x:v>0.5</x:v>
      </x:c>
      <x:c r="D7" s="12" t="str">
        <x:v>m³/m³</x:v>
      </x:c>
      <x:c r="E7" s="59"/>
      <x:c r="F7" s="12" t="str">
        <x:v>Z convertido</x:v>
      </x:c>
      <x:c r="G7" s="12" t="str">
        <x:v>Zmm = Z·10</x:v>
      </x:c>
      <x:c r="H7" s="12" t="str">
        <x:v>=C10*10</x:v>
      </x:c>
      <x:c r="I7" s="38" t="n">
        <x:f>C10*10</x:f>
        <x:v>500</x:v>
      </x:c>
      <x:c r="J7" s="12" t="str">
        <x:v>mm</x:v>
      </x:c>
      <x:c r="K7" s="59"/>
      <x:c r="L7" s="59"/>
      <x:c r="M7" s="59"/>
      <x:c r="N7" s="59"/>
    </x:row>
    <x:row r="8" ht="15" hidden="0" customHeight="1">
      <x:c r="A8" s="13" t="str">
        <x:v>K0</x:v>
      </x:c>
      <x:c r="B8" s="13" t="str">
        <x:v>Percolação/infiltração</x:v>
      </x:c>
      <x:c r="C8" s="33" t="n">
        <x:v>7</x:v>
      </x:c>
      <x:c r="D8" s="13" t="str">
        <x:v>mm/dia</x:v>
      </x:c>
      <x:c r="E8" s="59"/>
      <x:c r="F8" s="13" t="str">
        <x:v>Área convertida</x:v>
      </x:c>
      <x:c r="G8" s="13" t="str">
        <x:v>Am² = A·10000</x:v>
      </x:c>
      <x:c r="H8" s="13" t="str">
        <x:v>=C16*10000</x:v>
      </x:c>
      <x:c r="I8" s="39" t="n">
        <x:f>C16*10000</x:f>
        <x:v>20000</x:v>
      </x:c>
      <x:c r="J8" s="13" t="str">
        <x:v>m²</x:v>
      </x:c>
      <x:c r="K8" s="59"/>
      <x:c r="L8" s="59"/>
      <x:c r="M8" s="59"/>
      <x:c r="N8" s="59"/>
    </x:row>
    <x:row r="9" ht="15" hidden="0" customHeight="1">
      <x:c r="A9" s="13" t="str">
        <x:v>DTA</x:v>
      </x:c>
      <x:c r="B9" s="13" t="str">
        <x:v>Disponibilidade total de água</x:v>
      </x:c>
      <x:c r="C9" s="33" t="n">
        <x:v>2</x:v>
      </x:c>
      <x:c r="D9" s="13" t="str">
        <x:v>mm/cm</x:v>
      </x:c>
      <x:c r="E9" s="59"/>
      <x:c r="F9" s="13" t="str">
        <x:v>Turno de rega</x:v>
      </x:c>
      <x:c r="G9" s="13" t="str">
        <x:v>TR = DTA·f·Z/ETc</x:v>
      </x:c>
      <x:c r="H9" s="13" t="str">
        <x:v>=C9*C13*C10/C12</x:v>
      </x:c>
      <x:c r="I9" s="39" t="n">
        <x:f>C9*C13*C10/C12</x:f>
        <x:v>6.944444444444445</x:v>
      </x:c>
      <x:c r="J9" s="13" t="str">
        <x:v>dias</x:v>
      </x:c>
      <x:c r="K9" s="59"/>
      <x:c r="L9" s="59"/>
      <x:c r="M9" s="59"/>
      <x:c r="N9" s="59"/>
    </x:row>
    <x:row r="10" ht="15" hidden="0" customHeight="1">
      <x:c r="A10" s="13" t="str">
        <x:v>Z</x:v>
      </x:c>
      <x:c r="B10" s="13" t="str">
        <x:v>Profundidade radicular</x:v>
      </x:c>
      <x:c r="C10" s="33" t="n">
        <x:v>50</x:v>
      </x:c>
      <x:c r="D10" s="13" t="str">
        <x:v>cm</x:v>
      </x:c>
      <x:c r="E10" s="59"/>
      <x:c r="F10" s="13" t="str">
        <x:v>TR adotado</x:v>
      </x:c>
      <x:c r="G10" s="13" t="str">
        <x:v>Arredondamento operacional</x:v>
      </x:c>
      <x:c r="H10" s="13"/>
      <x:c r="I10" s="39" t="n">
        <x:v>7</x:v>
      </x:c>
      <x:c r="J10" s="13" t="str">
        <x:v>dias</x:v>
      </x:c>
      <x:c r="K10" s="59"/>
      <x:c r="L10" s="59"/>
      <x:c r="M10" s="59"/>
      <x:c r="N10" s="59"/>
    </x:row>
    <x:row r="11" ht="15" hidden="0" customHeight="1">
      <x:c r="A11" s="13" t="str">
        <x:v>ET0</x:v>
      </x:c>
      <x:c r="B11" s="13" t="str">
        <x:v>Evapotranspiração de referência</x:v>
      </x:c>
      <x:c r="C11" s="33" t="n">
        <x:v>9</x:v>
      </x:c>
      <x:c r="D11" s="13" t="str">
        <x:v>mm/dia</x:v>
      </x:c>
      <x:c r="E11" s="59"/>
      <x:c r="F11" s="13" t="str">
        <x:v>Vazão de enchimento</x:v>
      </x:c>
      <x:c r="G11" s="13" t="str">
        <x:v>Qe=0,116·(φ·Zmm+Lm+ETc·TR+K0·TR)·A/TR</x:v>
      </x:c>
      <x:c r="H11" s="13" t="str">
        <x:v>=0.116*(C7*I7+C14+C12*I10+C8*I10)*(C16/I10)</x:v>
      </x:c>
      <x:c r="I11" s="39" t="n">
        <x:f>0.116*(C7*I7+C14+C12*I10+C8*I10)*(C16/I10)</x:f>
        <x:v>16.551542857142856</x:v>
      </x:c>
      <x:c r="J11" s="13" t="str">
        <x:v>L/s</x:v>
      </x:c>
      <x:c r="K11" s="59"/>
      <x:c r="L11" s="59"/>
      <x:c r="M11" s="59"/>
      <x:c r="N11" s="59"/>
    </x:row>
    <x:row r="12" ht="15" hidden="0" customHeight="1">
      <x:c r="A12" s="13" t="str">
        <x:v>ETc</x:v>
      </x:c>
      <x:c r="B12" s="13" t="str">
        <x:v>Evapotranspiração da cultura</x:v>
      </x:c>
      <x:c r="C12" s="33" t="n">
        <x:v>7.2</x:v>
      </x:c>
      <x:c r="D12" s="13" t="str">
        <x:v>mm/dia</x:v>
      </x:c>
      <x:c r="E12" s="59"/>
      <x:c r="F12" s="13" t="str">
        <x:v>Qe específica</x:v>
      </x:c>
      <x:c r="G12" s="13" t="str">
        <x:v>Qe/A</x:v>
      </x:c>
      <x:c r="H12" s="13" t="str">
        <x:v>=I11/C16</x:v>
      </x:c>
      <x:c r="I12" s="39" t="n">
        <x:f>I11/C16</x:f>
        <x:v>8.275771428571428</x:v>
      </x:c>
      <x:c r="J12" s="13" t="str">
        <x:v>L/s/ha</x:v>
      </x:c>
      <x:c r="K12" s="59"/>
      <x:c r="L12" s="59"/>
      <x:c r="M12" s="59"/>
      <x:c r="N12" s="59"/>
    </x:row>
    <x:row r="13" ht="15" hidden="0" customHeight="1">
      <x:c r="A13" s="13" t="str">
        <x:v>f</x:v>
      </x:c>
      <x:c r="B13" s="13" t="str">
        <x:v>Fator de disponibilidade</x:v>
      </x:c>
      <x:c r="C13" s="33" t="n">
        <x:v>0.5</x:v>
      </x:c>
      <x:c r="D13" s="13" t="str">
        <x:v>-</x:v>
      </x:c>
      <x:c r="E13" s="59"/>
      <x:c r="F13" s="13" t="str">
        <x:v>Vazão de manutenção</x:v>
      </x:c>
      <x:c r="G13" s="13" t="str">
        <x:v>Qm=0,116·(ETc+K0)·A</x:v>
      </x:c>
      <x:c r="H13" s="13" t="str">
        <x:v>=0.116*(C12+C8)*C16</x:v>
      </x:c>
      <x:c r="I13" s="39" t="n">
        <x:f>0.116*(C12+C8)*C16</x:f>
        <x:v>3.2944</x:v>
      </x:c>
      <x:c r="J13" s="13" t="str">
        <x:v>L/s</x:v>
      </x:c>
      <x:c r="K13" s="59"/>
      <x:c r="L13" s="59"/>
      <x:c r="M13" s="59"/>
      <x:c r="N13" s="59"/>
    </x:row>
    <x:row r="14" ht="15" hidden="0" customHeight="1">
      <x:c r="A14" s="13" t="str">
        <x:v>Lm</x:v>
      </x:c>
      <x:c r="B14" s="13" t="str">
        <x:v>Lâmina média superficial</x:v>
      </x:c>
      <x:c r="C14" s="33" t="n">
        <x:v>150</x:v>
      </x:c>
      <x:c r="D14" s="13" t="str">
        <x:v>mm</x:v>
      </x:c>
      <x:c r="E14" s="59"/>
      <x:c r="F14" s="13" t="str">
        <x:v>Qm específica</x:v>
      </x:c>
      <x:c r="G14" s="13" t="str">
        <x:v>Qm/A</x:v>
      </x:c>
      <x:c r="H14" s="13" t="str">
        <x:v>=I13/C16</x:v>
      </x:c>
      <x:c r="I14" s="39" t="n">
        <x:f>I13/C16</x:f>
        <x:v>1.6472</x:v>
      </x:c>
      <x:c r="J14" s="13" t="str">
        <x:v>L/s/ha</x:v>
      </x:c>
      <x:c r="K14" s="59"/>
      <x:c r="L14" s="59"/>
      <x:c r="M14" s="59"/>
      <x:c r="N14" s="59"/>
    </x:row>
    <x:row r="15" ht="15" hidden="0" customHeight="1">
      <x:c r="A15" s="13" t="str">
        <x:v>Pp</x:v>
      </x:c>
      <x:c r="B15" s="13" t="str">
        <x:v>Precipitação</x:v>
      </x:c>
      <x:c r="C15" s="33" t="n">
        <x:v>0</x:v>
      </x:c>
      <x:c r="D15" s="13" t="str">
        <x:v>mm</x:v>
      </x:c>
      <x:c r="E15" s="59"/>
      <x:c r="F15" s="13" t="str">
        <x:v>Eficiência de condução</x:v>
      </x:c>
      <x:c r="G15" s="13" t="str">
        <x:v>Ec=Qm/Qd·100</x:v>
      </x:c>
      <x:c r="H15" s="13" t="str">
        <x:v>=I13/C17*100</x:v>
      </x:c>
      <x:c r="I15" s="39" t="n">
        <x:f>I13/C17*100</x:f>
        <x:v>9.151111111111112</x:v>
      </x:c>
      <x:c r="J15" s="13" t="str">
        <x:v>%</x:v>
      </x:c>
      <x:c r="K15" s="59"/>
      <x:c r="L15" s="59"/>
      <x:c r="M15" s="59"/>
      <x:c r="N15" s="59"/>
    </x:row>
    <x:row r="16" ht="15" hidden="0" customHeight="1">
      <x:c r="A16" s="13" t="str">
        <x:v>A</x:v>
      </x:c>
      <x:c r="B16" s="13" t="str">
        <x:v>Área</x:v>
      </x:c>
      <x:c r="C16" s="33" t="n">
        <x:v>2</x:v>
      </x:c>
      <x:c r="D16" s="13" t="str">
        <x:v>ha</x:v>
      </x:c>
      <x:c r="E16" s="59"/>
      <x:c r="F16" s="13" t="str">
        <x:v>Lâmina evapotranspirada semanal</x:v>
      </x:c>
      <x:c r="G16" s="13" t="str">
        <x:v>Les=ET0·7</x:v>
      </x:c>
      <x:c r="H16" s="13" t="str">
        <x:v>=C11*7</x:v>
      </x:c>
      <x:c r="I16" s="39" t="n">
        <x:f>C11*7</x:f>
        <x:v>63</x:v>
      </x:c>
      <x:c r="J16" s="13" t="str">
        <x:v>mm/semana</x:v>
      </x:c>
      <x:c r="K16" s="59"/>
      <x:c r="L16" s="59"/>
      <x:c r="M16" s="59"/>
      <x:c r="N16" s="59"/>
    </x:row>
    <x:row r="17" ht="15" hidden="0" customHeight="1">
      <x:c r="A17" s="14" t="str">
        <x:v>Qd</x:v>
      </x:c>
      <x:c r="B17" s="14" t="str">
        <x:v>Vazão derivada</x:v>
      </x:c>
      <x:c r="C17" s="34" t="n">
        <x:v>36</x:v>
      </x:c>
      <x:c r="D17" s="14" t="str">
        <x:v>L/s</x:v>
      </x:c>
      <x:c r="E17" s="59"/>
      <x:c r="F17" s="13" t="str">
        <x:v>Lâmina aplicada semanal</x:v>
      </x:c>
      <x:c r="G17" s="13" t="str">
        <x:v>Las=(Qm·168/Am²)·3600</x:v>
      </x:c>
      <x:c r="H17" s="13" t="str">
        <x:v>=(I13*168/I8)*3600</x:v>
      </x:c>
      <x:c r="I17" s="39" t="n">
        <x:f>(I13*168/I8)*3600</x:f>
        <x:v>99.622656</x:v>
      </x:c>
      <x:c r="J17" s="13" t="str">
        <x:v>mm/semana</x:v>
      </x:c>
      <x:c r="K17" s="59"/>
      <x:c r="L17" s="59"/>
      <x:c r="M17" s="59"/>
      <x:c r="N17" s="59"/>
    </x:row>
    <x:row r="18" ht="15" hidden="0" customHeight="1">
      <x:c r="A18" s="59"/>
      <x:c r="B18" s="59"/>
      <x:c r="C18" s="59"/>
      <x:c r="D18" s="59"/>
      <x:c r="E18" s="59"/>
      <x:c r="F18" s="14" t="str">
        <x:v>Eficiência de aplicação</x:v>
      </x:c>
      <x:c r="G18" s="14" t="str">
        <x:v>Ea=Les/Las·100</x:v>
      </x:c>
      <x:c r="H18" s="14" t="str">
        <x:v>=I16/I17*100</x:v>
      </x:c>
      <x:c r="I18" s="40" t="n">
        <x:f>I16/I17*100</x:f>
        <x:v>63.238627165290595</x:v>
      </x:c>
      <x:c r="J18" s="14" t="str">
        <x:v>%</x:v>
      </x:c>
      <x:c r="K18" s="59"/>
      <x:c r="L18" s="59"/>
      <x:c r="M18" s="59"/>
      <x:c r="N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</x:row>
    <x:row r="22" ht="15" hidden="0" customHeight="1">
      <x:c r="A22" s="29" t="str">
        <x:v>Dados para gráficos</x:v>
      </x:c>
      <x:c r="B22" s="31" t="str">
        <x:v>Dados para gráficos</x:v>
      </x:c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</x:row>
    <x:row r="23" ht="15" hidden="0" customHeight="1">
      <x:c r="A23" s="9" t="str">
        <x:v>Indicador</x:v>
      </x:c>
      <x:c r="B23" s="9" t="str">
        <x:v>Valor</x:v>
      </x:c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</x:row>
    <x:row r="24" ht="15" hidden="0" customHeight="1">
      <x:c r="A24" s="12" t="str">
        <x:v>Qe (L/s)</x:v>
      </x:c>
      <x:c r="B24" s="38" t="n">
        <x:f>I11</x:f>
        <x:v>16.551542857142856</x:v>
      </x:c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</x:row>
    <x:row r="25" ht="15" hidden="0" customHeight="1">
      <x:c r="A25" s="13" t="str">
        <x:v>Qm (L/s)</x:v>
      </x:c>
      <x:c r="B25" s="39" t="n">
        <x:f>I13</x:f>
        <x:v>3.2944</x:v>
      </x:c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</x:row>
    <x:row r="26" ht="15" hidden="0" customHeight="1">
      <x:c r="A26" s="13" t="str">
        <x:v>Qd (L/s)</x:v>
      </x:c>
      <x:c r="B26" s="39" t="n">
        <x:f>C17</x:f>
        <x:v>36</x:v>
      </x:c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</x:row>
    <x:row r="27" ht="15" hidden="0" customHeight="1">
      <x:c r="A27" s="13" t="str">
        <x:v>Ec (%)</x:v>
      </x:c>
      <x:c r="B27" s="39" t="n">
        <x:f>I15</x:f>
        <x:v>9.151111111111112</x:v>
      </x:c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</x:row>
    <x:row r="28" ht="15" hidden="0" customHeight="1">
      <x:c r="A28" s="13" t="str">
        <x:v>Ea (%)</x:v>
      </x:c>
      <x:c r="B28" s="39" t="n">
        <x:f>I18</x:f>
        <x:v>63.238627165290595</x:v>
      </x:c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</x:row>
    <x:row r="29" ht="15" hidden="0" customHeight="1">
      <x:c r="A29" s="14" t="str">
        <x:v>Les (mm/sem)</x:v>
      </x:c>
      <x:c r="B29" s="40" t="n">
        <x:f>I16</x:f>
        <x:v>63</x:v>
      </x:c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</x:row>
    <x:row r="39" ht="15" hidden="0" customHeight="1">
      <x:c r="A39" s="29" t="str">
        <x:v>Gráficos recomendados</x:v>
      </x:c>
      <x:c r="B39" s="30" t="str">
        <x:v>Gráficos recomendados</x:v>
      </x:c>
      <x:c r="C39" s="30" t="str">
        <x:v>Gráficos recomendados</x:v>
      </x:c>
      <x:c r="D39" s="30" t="str">
        <x:v>Gráficos recomendados</x:v>
      </x:c>
      <x:c r="E39" s="31" t="str">
        <x:v>Gráficos recomendados</x:v>
      </x:c>
      <x:c r="F39" s="59"/>
      <x:c r="G39" s="59"/>
      <x:c r="H39" s="59"/>
      <x:c r="I39" s="59"/>
      <x:c r="J39" s="59"/>
      <x:c r="K39" s="59"/>
      <x:c r="L39" s="59"/>
      <x:c r="M39" s="59"/>
      <x:c r="N39" s="59"/>
    </x:row>
    <x:row r="40" ht="24" hidden="0" customHeight="1">
      <x:c r="A40" s="9" t="str">
        <x:v>Prioridade</x:v>
      </x:c>
      <x:c r="B40" s="9" t="str">
        <x:v>Gráfico</x:v>
      </x:c>
      <x:c r="C40" s="9" t="str">
        <x:v>Categorias / eixo X</x:v>
      </x:c>
      <x:c r="D40" s="9" t="str">
        <x:v>Valor / eixo Y</x:v>
      </x:c>
      <x:c r="E40" s="9" t="str">
        <x:v>Uso</x:v>
      </x:c>
      <x:c r="F40" s="59"/>
      <x:c r="G40" s="59"/>
      <x:c r="H40" s="59"/>
      <x:c r="I40" s="59"/>
      <x:c r="J40" s="59"/>
      <x:c r="K40" s="59"/>
      <x:c r="L40" s="59"/>
      <x:c r="M40" s="59"/>
      <x:c r="N40" s="59"/>
    </x:row>
    <x:row r="41" ht="15" hidden="0" customHeight="1">
      <x:c r="A41" s="12" t="n">
        <x:v>1</x:v>
      </x:c>
      <x:c r="B41" s="12" t="str">
        <x:v>Vazões de projeto</x:v>
      </x:c>
      <x:c r="C41" s="12" t="str">
        <x:v>Qe, Qm e Qd</x:v>
      </x:c>
      <x:c r="D41" s="12" t="str">
        <x:v>L/s</x:v>
      </x:c>
      <x:c r="E41" s="12" t="str">
        <x:v>Comparar demanda de enchimento, manutenção e disponibilidade</x:v>
      </x:c>
      <x:c r="F41" s="59"/>
      <x:c r="G41" s="59"/>
      <x:c r="H41" s="59"/>
      <x:c r="I41" s="59"/>
      <x:c r="J41" s="59"/>
      <x:c r="K41" s="59"/>
      <x:c r="L41" s="59"/>
      <x:c r="M41" s="59"/>
      <x:c r="N41" s="59"/>
    </x:row>
    <x:row r="42" ht="15" hidden="0" customHeight="1">
      <x:c r="A42" s="13" t="n">
        <x:v>2</x:v>
      </x:c>
      <x:c r="B42" s="13" t="str">
        <x:v>Eficiências</x:v>
      </x:c>
      <x:c r="C42" s="13" t="str">
        <x:v>Ec e Ea</x:v>
      </x:c>
      <x:c r="D42" s="13" t="str">
        <x:v>%</x:v>
      </x:c>
      <x:c r="E42" s="13" t="str">
        <x:v>Mostrar perdas entre captação, aplicação e consumo</x:v>
      </x:c>
      <x:c r="F42" s="59"/>
      <x:c r="G42" s="59"/>
      <x:c r="H42" s="59"/>
      <x:c r="I42" s="59"/>
      <x:c r="J42" s="59"/>
      <x:c r="K42" s="59"/>
      <x:c r="L42" s="59"/>
      <x:c r="M42" s="59"/>
      <x:c r="N42" s="59"/>
    </x:row>
    <x:row r="43" ht="15" hidden="0" customHeight="1">
      <x:c r="A43" s="13" t="n">
        <x:v>3</x:v>
      </x:c>
      <x:c r="B43" s="13" t="str">
        <x:v>Balanço semanal</x:v>
      </x:c>
      <x:c r="C43" s="13" t="str">
        <x:v>Les e Las</x:v>
      </x:c>
      <x:c r="D43" s="13" t="str">
        <x:v>mm/semana</x:v>
      </x:c>
      <x:c r="E43" s="13" t="str">
        <x:v>Ver se a lâmina aplicada cobre a demanda</x:v>
      </x:c>
      <x:c r="F43" s="59"/>
      <x:c r="G43" s="59"/>
      <x:c r="H43" s="59"/>
      <x:c r="I43" s="59"/>
      <x:c r="J43" s="59"/>
      <x:c r="K43" s="59"/>
      <x:c r="L43" s="59"/>
      <x:c r="M43" s="59"/>
      <x:c r="N43" s="59"/>
    </x:row>
    <x:row r="44" ht="15" hidden="0" customHeight="1">
      <x:c r="A44" s="14" t="n">
        <x:v>4</x:v>
      </x:c>
      <x:c r="B44" s="14" t="str">
        <x:v>Componentes do enchimento</x:v>
      </x:c>
      <x:c r="C44" s="14" t="str">
        <x:v>Saturação, lâmina, ETc e K0</x:v>
      </x:c>
      <x:c r="D44" s="14" t="str">
        <x:v>mm ou volume</x:v>
      </x:c>
      <x:c r="E44" s="14" t="str">
        <x:v>Explicar a composição de Qe</x:v>
      </x:c>
      <x:c r="F44" s="59"/>
      <x:c r="G44" s="59"/>
      <x:c r="H44" s="59"/>
      <x:c r="I44" s="59"/>
      <x:c r="J44" s="59"/>
      <x:c r="K44" s="59"/>
      <x:c r="L44" s="59"/>
      <x:c r="M44" s="59"/>
      <x:c r="N44" s="59"/>
    </x:row>
    <x:row r="45"/>
    <x:row r="46"/>
  </x:sheetData>
  <x:pageMargins left="0.7" right="0.7" top="0.75" bottom="0.75" header="0.3" footer="0.3"/>
  <x:drawing xmlns:r="http://schemas.openxmlformats.org/officeDocument/2006/relationships" r:id="Rf4304426d6954e3d"/>
</x:worksheet>
</file>

<file path=xl/worksheets/sheet6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1" hidden="0" customWidth="1"/>
    <x:col min="2" max="2" width="43" hidden="0" customWidth="1"/>
    <x:col min="3" max="3" width="39" hidden="0" customWidth="1"/>
    <x:col min="4" max="4" width="44" hidden="0" customWidth="1"/>
  </x:cols>
  <x:sheetData>
    <x:row r="1"/>
    <x:row r="2" ht="18" hidden="0" customHeight="1">
      <x:c r="A2" s="56" t="str">
        <x:v>Fontes e alertas de validação</x:v>
      </x:c>
      <x:c r="B2" s="57"/>
      <x:c r="C2" s="57"/>
      <x:c r="D2" s="57"/>
      <x:c r="E2" s="57"/>
      <x:c r="F2" s="57"/>
      <x:c r="G2" s="57"/>
      <x:c r="H2" s="57"/>
    </x:row>
    <x:row r="3" ht="15" hidden="0" customHeight="1">
      <x:c r="A3" s="58" t="str">
        <x:v>Referências internas ao pacote fornecido.</x:v>
      </x:c>
      <x:c r="B3" s="58"/>
      <x:c r="C3" s="58"/>
      <x:c r="D3" s="58"/>
      <x:c r="E3" s="58"/>
      <x:c r="F3" s="58"/>
      <x:c r="G3" s="58"/>
      <x:c r="H3" s="58"/>
    </x:row>
    <x:row r="4">
      <x:c r="A4" s="59"/>
      <x:c r="B4" s="59"/>
      <x:c r="C4" s="59"/>
      <x:c r="D4" s="59"/>
      <x:c r="E4" s="59"/>
      <x:c r="F4" s="59"/>
      <x:c r="G4" s="59"/>
      <x:c r="H4" s="59"/>
    </x:row>
    <x:row r="5">
      <x:c r="A5" s="59"/>
      <x:c r="B5" s="59"/>
      <x:c r="C5" s="59"/>
      <x:c r="D5" s="59"/>
      <x:c r="E5" s="59"/>
      <x:c r="F5" s="59"/>
      <x:c r="G5" s="59"/>
      <x:c r="H5" s="59"/>
    </x:row>
    <x:row r="6" ht="15" hidden="0" customHeight="1">
      <x:c r="A6" s="9" t="str">
        <x:v>Tema</x:v>
      </x:c>
      <x:c r="B6" s="9" t="str">
        <x:v>Arquivo</x:v>
      </x:c>
      <x:c r="C6" s="9" t="str">
        <x:v>Localização</x:v>
      </x:c>
      <x:c r="D6" s="9" t="str">
        <x:v>Uso</x:v>
      </x:c>
      <x:c r="E6" s="59"/>
      <x:c r="F6" s="59"/>
      <x:c r="G6" s="59"/>
      <x:c r="H6" s="59"/>
    </x:row>
    <x:row r="7" ht="15" hidden="0" customHeight="1">
      <x:c r="A7" s="12" t="str">
        <x:v>Sulcos</x:v>
      </x:c>
      <x:c r="B7" s="12" t="str">
        <x:v>Aula 6 - Irrigação por sulcos.pdf</x:v>
      </x:c>
      <x:c r="C7" s="12" t="str">
        <x:v>p. 55–65 e 79–100</x:v>
      </x:c>
      <x:c r="D7" s="12" t="str">
        <x:v>Equações, sequência e exemplo</x:v>
      </x:c>
      <x:c r="E7" s="59"/>
      <x:c r="F7" s="59"/>
      <x:c r="G7" s="59"/>
      <x:c r="H7" s="59"/>
    </x:row>
    <x:row r="8" ht="15" hidden="0" customHeight="1">
      <x:c r="A8" s="13" t="str">
        <x:v>Faixas</x:v>
      </x:c>
      <x:c r="B8" s="13" t="str">
        <x:v>Aula 7 - Irrigação por faixas.pdf</x:v>
      </x:c>
      <x:c r="C8" s="13" t="str">
        <x:v>p. 52–73</x:v>
      </x:c>
      <x:c r="D8" s="13" t="str">
        <x:v>Procedimento de dimensionamento</x:v>
      </x:c>
      <x:c r="E8" s="59"/>
      <x:c r="F8" s="59"/>
      <x:c r="G8" s="59"/>
      <x:c r="H8" s="59"/>
    </x:row>
    <x:row r="9" ht="15" hidden="0" customHeight="1">
      <x:c r="A9" s="13" t="str">
        <x:v>Faixas</x:v>
      </x:c>
      <x:c r="B9" s="13" t="str">
        <x:v>Projeto faixas - Dimensionamento exemplo.xlsx</x:v>
      </x:c>
      <x:c r="C9" s="13" t="str">
        <x:v>Planilha1</x:v>
      </x:c>
      <x:c r="D9" s="13" t="str">
        <x:v>Fórmulas e resultados dos cenários</x:v>
      </x:c>
      <x:c r="E9" s="59"/>
      <x:c r="F9" s="59"/>
      <x:c r="G9" s="59"/>
      <x:c r="H9" s="59"/>
    </x:row>
    <x:row r="10" ht="15" hidden="0" customHeight="1">
      <x:c r="A10" s="13" t="str">
        <x:v>Bacia intermitente</x:v>
      </x:c>
      <x:c r="B10" s="13" t="str">
        <x:v>Aula 8 - Irrigação por Inundação.pdf</x:v>
      </x:c>
      <x:c r="C10" s="13" t="str">
        <x:v>p. 48–60</x:v>
      </x:c>
      <x:c r="D10" s="13" t="str">
        <x:v>Equações e procedimento</x:v>
      </x:c>
      <x:c r="E10" s="59"/>
      <x:c r="F10" s="59"/>
      <x:c r="G10" s="59"/>
      <x:c r="H10" s="59"/>
    </x:row>
    <x:row r="11" ht="15" hidden="0" customHeight="1">
      <x:c r="A11" s="13" t="str">
        <x:v>Bacia intermitente</x:v>
      </x:c>
      <x:c r="B11" s="13" t="str">
        <x:v>Projeto Inundação intermitente - Dimensionamento exemplo.xlsx</x:v>
      </x:c>
      <x:c r="C11" s="13" t="str">
        <x:v>Planilha1</x:v>
      </x:c>
      <x:c r="D11" s="13" t="str">
        <x:v>Fórmulas e resultados dos cenários</x:v>
      </x:c>
      <x:c r="E11" s="59"/>
      <x:c r="F11" s="59"/>
      <x:c r="G11" s="59"/>
      <x:c r="H11" s="59"/>
    </x:row>
    <x:row r="12" ht="15" hidden="0" customHeight="1">
      <x:c r="A12" s="13" t="str">
        <x:v>Bacia permanente</x:v>
      </x:c>
      <x:c r="B12" s="13" t="str">
        <x:v>Aula 8 - Irrigação por Inundação.pdf</x:v>
      </x:c>
      <x:c r="C12" s="13" t="str">
        <x:v>p. 67–72</x:v>
      </x:c>
      <x:c r="D12" s="13" t="str">
        <x:v>Qe, Qm, Ec e Ea</x:v>
      </x:c>
      <x:c r="E12" s="59"/>
      <x:c r="F12" s="59"/>
      <x:c r="G12" s="59"/>
      <x:c r="H12" s="59"/>
    </x:row>
    <x:row r="13" ht="15" hidden="0" customHeight="1">
      <x:c r="A13" s="13" t="str">
        <x:v>Bacia permanente</x:v>
      </x:c>
      <x:c r="B13" s="13" t="str">
        <x:v>Projeto Inundação permanente - Dimensionamento exemplo.xlsx</x:v>
      </x:c>
      <x:c r="C13" s="13" t="str">
        <x:v>Planilha1</x:v>
      </x:c>
      <x:c r="D13" s="13" t="str">
        <x:v>Dados e resultados</x:v>
      </x:c>
      <x:c r="E13" s="59"/>
      <x:c r="F13" s="59"/>
      <x:c r="G13" s="59"/>
      <x:c r="H13" s="59"/>
    </x:row>
    <x:row r="14" ht="15" hidden="0" customHeight="1">
      <x:c r="A14" s="14" t="str">
        <x:v>Contexto</x:v>
      </x:c>
      <x:c r="B14" s="14" t="str">
        <x:v>Aula 5 - Métodos de irrigação.pdf/.docx</x:v>
      </x:c>
      <x:c r="C14" s="14" t="str">
        <x:v>Material geral</x:v>
      </x:c>
      <x:c r="D14" s="14" t="str">
        <x:v>Definições dos métodos</x:v>
      </x:c>
      <x:c r="E14" s="59"/>
      <x:c r="F14" s="59"/>
      <x:c r="G14" s="59"/>
      <x:c r="H14" s="59"/>
    </x:row>
    <x:row r="15">
      <x:c r="A15" s="59"/>
      <x:c r="B15" s="59"/>
      <x:c r="C15" s="59"/>
      <x:c r="D15" s="59"/>
      <x:c r="E15" s="59"/>
      <x:c r="F15" s="59"/>
      <x:c r="G15" s="59"/>
      <x:c r="H15" s="59"/>
    </x:row>
    <x:row r="16">
      <x:c r="A16" s="59"/>
      <x:c r="B16" s="59"/>
      <x:c r="C16" s="59"/>
      <x:c r="D16" s="59"/>
      <x:c r="E16" s="59"/>
      <x:c r="F16" s="59"/>
      <x:c r="G16" s="59"/>
      <x:c r="H16" s="59"/>
    </x:row>
    <x:row r="17" ht="15" hidden="0" customHeight="1">
      <x:c r="A17" s="29" t="str">
        <x:v>Pontos que exigem revisão antes de uso em projeto</x:v>
      </x:c>
      <x:c r="B17" s="30" t="str">
        <x:v>Pontos que exigem revisão antes de uso em projeto</x:v>
      </x:c>
      <x:c r="C17" s="30" t="str">
        <x:v>Pontos que exigem revisão antes de uso em projeto</x:v>
      </x:c>
      <x:c r="D17" s="31" t="str">
        <x:v>Pontos que exigem revisão antes de uso em projeto</x:v>
      </x:c>
      <x:c r="E17" s="59"/>
      <x:c r="F17" s="59"/>
      <x:c r="G17" s="59"/>
      <x:c r="H17" s="59"/>
    </x:row>
    <x:row r="18" ht="15" hidden="0" customHeight="1">
      <x:c r="A18" s="9" t="str">
        <x:v>Método</x:v>
      </x:c>
      <x:c r="B18" s="9" t="str">
        <x:v>Achado</x:v>
      </x:c>
      <x:c r="C18" s="9" t="str">
        <x:v>Impacto</x:v>
      </x:c>
      <x:c r="D18" s="9" t="str">
        <x:v>Ação</x:v>
      </x:c>
      <x:c r="E18" s="59"/>
      <x:c r="F18" s="59"/>
      <x:c r="G18" s="59"/>
      <x:c r="H18" s="59"/>
    </x:row>
    <x:row r="19" ht="24" hidden="0" customHeight="1">
      <x:c r="A19" s="19" t="str">
        <x:v>Sulcos</x:v>
      </x:c>
      <x:c r="B19" s="19" t="str">
        <x:v>Tempo da vazão reduzida diverge entre fórmula e quadro-resumo.</x:v>
      </x:c>
      <x:c r="C19" s="19" t="str">
        <x:v>A Ea de 66% depende desse tempo.</x:v>
      </x:c>
      <x:c r="D19" s="19" t="str">
        <x:v>Confirmar se o segundo estágio dura 20 ou 110 min.</x:v>
      </x:c>
      <x:c r="E19" s="59"/>
      <x:c r="F19" s="59"/>
      <x:c r="G19" s="59"/>
      <x:c r="H19" s="59"/>
    </x:row>
    <x:row r="20" ht="15" hidden="0" customHeight="1">
      <x:c r="A20" s="21" t="str">
        <x:v>Faixas</x:v>
      </x:c>
      <x:c r="B20" s="21" t="str">
        <x:v>Alguns cenários preliminares não têm td/ti completo.</x:v>
      </x:c>
      <x:c r="C20" s="21" t="str">
        <x:v>Ea preliminar não substitui a análise completa.</x:v>
      </x:c>
      <x:c r="D20" s="21" t="str">
        <x:v>Usar apenas os cenários com depleção e vazão total verificadas.</x:v>
      </x:c>
      <x:c r="E20" s="59"/>
      <x:c r="F20" s="59"/>
      <x:c r="G20" s="59"/>
      <x:c r="H20" s="59"/>
    </x:row>
    <x:row r="21" ht="15" hidden="0" customHeight="1">
      <x:c r="A21" s="21" t="str">
        <x:v>Bacia intermitente</x:v>
      </x:c>
      <x:c r="B21" s="21" t="str">
        <x:v>O texto diz que 222,22 L/s é maior que 400 L/s.</x:v>
      </x:c>
      <x:c r="C21" s="21" t="str">
        <x:v>Classificação de disponibilidade invertida.</x:v>
      </x:c>
      <x:c r="D21" s="21" t="str">
        <x:v>Corrigir para menor que a disponível.</x:v>
      </x:c>
      <x:c r="E21" s="59"/>
      <x:c r="F21" s="59"/>
      <x:c r="G21" s="59"/>
      <x:c r="H21" s="59"/>
    </x:row>
    <x:row r="22" ht="15" hidden="0" customHeight="1">
      <x:c r="A22" s="23" t="str">
        <x:v>Bacia intermitente</x:v>
      </x:c>
      <x:c r="B22" s="23" t="str">
        <x:v>Cenários com ta ≥ ti exibem Ea alta.</x:v>
      </x:c>
      <x:c r="C22" s="23" t="str">
        <x:v>Essas eficiências não são hidraulicamente válidas.</x:v>
      </x:c>
      <x:c r="D22" s="23" t="str">
        <x:v>Filtrar por ta &lt; ti antes de escolher o máximo.</x:v>
      </x:c>
      <x:c r="E22" s="59"/>
      <x:c r="F22" s="59"/>
      <x:c r="G22" s="59"/>
      <x:c r="H22" s="59"/>
    </x:row>
    <x:row r="23"/>
    <x:row r="24"/>
  </x:sheetData>
  <x:pageMargins left="0.7" right="0.7" top="0.75" bottom="0.75" header="0.3" footer="0.3"/>
</x:worksheet>
</file>